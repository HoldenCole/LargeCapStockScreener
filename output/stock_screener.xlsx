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TOCK SCORES" sheetId="2" state="visible" r:id="rId2"/>
    <sheet name="VALUATION COMPS" sheetId="3" state="visible" r:id="rId3"/>
    <sheet name="FUNDAMENTAL DATA" sheetId="4" state="visible" r:id="rId4"/>
    <sheet name="CATALYST TRACKER" sheetId="5" state="visible" r:id="rId5"/>
    <sheet name="RISK MATRIX" sheetId="6" state="visible" r:id="rId6"/>
    <sheet name="NVO DEEP DIVE" sheetId="7" state="visible" r:id="rId7"/>
    <sheet name="ASSUMPTIONS" sheetId="8" state="visible" r:id="rId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0.0"/>
    <numFmt numFmtId="167" formatCode="0.0x"/>
    <numFmt numFmtId="168" formatCode="$#,##0.0"/>
    <numFmt numFmtId="169" formatCode="$#,##0.0;($#,##0.0);-"/>
    <numFmt numFmtId="170" formatCode="$#,##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9C6500"/>
      <sz val="10"/>
    </font>
    <font>
      <name val="Arial"/>
      <i val="1"/>
      <color rgb="00595959"/>
      <sz val="9"/>
    </font>
    <font>
      <name val="Arial"/>
      <b val="1"/>
      <color rgb="00000000"/>
      <sz val="11"/>
    </font>
    <font>
      <name val="Arial"/>
      <b val="1"/>
      <color rgb="00FFFFFF"/>
      <sz val="14"/>
    </font>
    <font>
      <name val="Arial"/>
      <b val="1"/>
      <sz val="11"/>
    </font>
    <font>
      <name val="Arial"/>
      <color rgb="00595959"/>
      <sz val="9"/>
    </font>
    <font>
      <name val="Arial"/>
      <b val="1"/>
      <color rgb="00000000"/>
      <sz val="10"/>
    </font>
    <font>
      <name val="Arial"/>
      <i val="1"/>
      <color rgb="00595959"/>
      <sz val="8"/>
    </font>
    <font>
      <name val="Arial"/>
      <b val="1"/>
      <color rgb="00595959"/>
      <sz val="9"/>
    </font>
    <font>
      <name val="Arial"/>
      <color rgb="00595959"/>
      <sz val="10"/>
    </font>
    <font>
      <name val="Arial"/>
      <b val="1"/>
      <color rgb="00375623"/>
      <sz val="13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9595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49" fontId="7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166" fontId="6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166" fontId="6" fillId="4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170" fontId="6" fillId="0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22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8" customWidth="1" min="10" max="10"/>
    <col width="10" customWidth="1" min="11" max="11"/>
    <col width="35" customWidth="1" min="12" max="12"/>
    <col width="35" customWidth="1" min="13" max="13"/>
    <col width="14" customWidth="1" min="14" max="14"/>
  </cols>
  <sheetData>
    <row r="1" ht="45" customHeight="1">
      <c r="A1" s="1" t="inlineStr">
        <is>
          <t>EQUITY SCREENER — BEATEN-DOWN VALUE WITH UPSIDE</t>
        </is>
      </c>
    </row>
    <row r="2" ht="20" customHeight="1">
      <c r="A2" s="2" t="inlineStr">
        <is>
          <t>Strategy: Contrarian Value | Macro: Bearish Credit &amp; US Economy | Sectors: Healthcare · Defense / Aerospace · Consumer Staples · Industrials | Top 5 per Sector | As of: March 17, 2026</t>
        </is>
      </c>
    </row>
    <row r="3"/>
    <row r="4" ht="28" customHeight="1">
      <c r="A4" s="3" t="inlineStr">
        <is>
          <t>MASTER RANKING — ALL SECTORS (sorted by Composite Score)</t>
        </is>
      </c>
    </row>
    <row r="5" ht="40" customHeight="1">
      <c r="A5" s="4" t="inlineStr">
        <is>
          <t>Rank</t>
        </is>
      </c>
      <c r="B5" s="4" t="inlineStr">
        <is>
          <t>Ticker</t>
        </is>
      </c>
      <c r="C5" s="4" t="inlineStr">
        <is>
          <t>Company</t>
        </is>
      </c>
      <c r="D5" s="4" t="inlineStr">
        <is>
          <t>Sector</t>
        </is>
      </c>
      <c r="E5" s="4" t="inlineStr">
        <is>
          <t>Price</t>
        </is>
      </c>
      <c r="F5" s="4" t="inlineStr">
        <is>
          <t>% Off High</t>
        </is>
      </c>
      <c r="G5" s="4" t="inlineStr">
        <is>
          <t>Composite
Score</t>
        </is>
      </c>
      <c r="H5" s="4" t="inlineStr">
        <is>
          <t>Recommendation</t>
        </is>
      </c>
      <c r="I5" s="4" t="inlineStr">
        <is>
          <t>Target
Price</t>
        </is>
      </c>
      <c r="J5" s="4" t="inlineStr">
        <is>
          <t>Upside
(%)</t>
        </is>
      </c>
      <c r="K5" s="4" t="inlineStr">
        <is>
          <t>Expected
Value (%)</t>
        </is>
      </c>
      <c r="L5" s="4" t="inlineStr">
        <is>
          <t>Key Risk</t>
        </is>
      </c>
      <c r="M5" s="4" t="inlineStr">
        <is>
          <t>Key Catalyst</t>
        </is>
      </c>
      <c r="N5" s="4" t="inlineStr">
        <is>
          <t>Analyst
Consensus</t>
        </is>
      </c>
    </row>
    <row r="6" ht="20" customHeight="1">
      <c r="A6" s="5" t="n">
        <v>1</v>
      </c>
      <c r="B6" s="6" t="inlineStr">
        <is>
          <t>UNH</t>
        </is>
      </c>
      <c r="C6" s="7" t="inlineStr">
        <is>
          <t>UnitedHealth Group Inc.</t>
        </is>
      </c>
      <c r="D6" s="7" t="inlineStr">
        <is>
          <t>Healthcare</t>
        </is>
      </c>
      <c r="E6" s="8" t="n">
        <v>286.8</v>
      </c>
      <c r="F6" s="9" t="n">
        <v>-0.545</v>
      </c>
      <c r="G6" s="10" t="n">
        <v>7.2</v>
      </c>
      <c r="H6" s="11" t="inlineStr">
        <is>
          <t>BUY</t>
        </is>
      </c>
      <c r="I6" s="8" t="n">
        <v>420</v>
      </c>
      <c r="J6" s="12" t="n">
        <v>0.465</v>
      </c>
      <c r="K6" s="12" t="n">
        <v>0.185</v>
      </c>
      <c r="L6" s="7" t="inlineStr">
        <is>
          <t>DOJ investigation; Medicare Advantage regulatory pressure; CEO transition</t>
        </is>
      </c>
      <c r="M6" s="7" t="inlineStr">
        <is>
          <t>DOJ resolution; MA rate normalization; earnings recovery; new CEO execution</t>
        </is>
      </c>
      <c r="N6" s="7" t="inlineStr">
        <is>
          <t>Buy</t>
        </is>
      </c>
    </row>
    <row r="7" ht="20" customHeight="1">
      <c r="A7" s="13" t="n">
        <v>2</v>
      </c>
      <c r="B7" s="14" t="inlineStr">
        <is>
          <t>BSX</t>
        </is>
      </c>
      <c r="C7" s="15" t="inlineStr">
        <is>
          <t>Boston Scientific Corp.</t>
        </is>
      </c>
      <c r="D7" s="15" t="inlineStr">
        <is>
          <t>Healthcare</t>
        </is>
      </c>
      <c r="E7" s="16" t="n">
        <v>71.20999999999999</v>
      </c>
      <c r="F7" s="17" t="n">
        <v>-0.35</v>
      </c>
      <c r="G7" s="18" t="n">
        <v>6.9</v>
      </c>
      <c r="H7" s="11" t="inlineStr">
        <is>
          <t>BUY</t>
        </is>
      </c>
      <c r="I7" s="16" t="n">
        <v>95</v>
      </c>
      <c r="J7" s="19" t="n">
        <v>0.334</v>
      </c>
      <c r="K7" s="19" t="n">
        <v>0.165</v>
      </c>
      <c r="L7" s="15" t="inlineStr">
        <is>
          <t>Elevated valuation on trailing P/E; tariff risk on medical device supply chain</t>
        </is>
      </c>
      <c r="M7" s="15" t="inlineStr">
        <is>
          <t>FARAPULSE PFA adoption curve; continued above-market organic growth; EP franchise dominance</t>
        </is>
      </c>
      <c r="N7" s="15" t="inlineStr">
        <is>
          <t>Buy</t>
        </is>
      </c>
    </row>
    <row r="8" ht="20" customHeight="1">
      <c r="A8" s="5" t="n">
        <v>3</v>
      </c>
      <c r="B8" s="6" t="inlineStr">
        <is>
          <t>NVO</t>
        </is>
      </c>
      <c r="C8" s="7" t="inlineStr">
        <is>
          <t>Novo Nordisk A/S</t>
        </is>
      </c>
      <c r="D8" s="7" t="inlineStr">
        <is>
          <t>Healthcare</t>
        </is>
      </c>
      <c r="E8" s="8" t="n">
        <v>38.52</v>
      </c>
      <c r="F8" s="9" t="n">
        <v>-0.73</v>
      </c>
      <c r="G8" s="10" t="n">
        <v>6.8</v>
      </c>
      <c r="H8" s="11" t="inlineStr">
        <is>
          <t>BUY</t>
        </is>
      </c>
      <c r="I8" s="8" t="n">
        <v>50</v>
      </c>
      <c r="J8" s="12" t="n">
        <v>0.298</v>
      </c>
      <c r="K8" s="12" t="n">
        <v>0.152</v>
      </c>
      <c r="L8" s="7" t="inlineStr">
        <is>
          <t>CagriSema approval delay; LLY market share gains; IRA pricing</t>
        </is>
      </c>
      <c r="M8" s="7" t="inlineStr">
        <is>
          <t>CagriSema FDA decision late 2026; oral Wegovy ramp; amycretin Phase 3</t>
        </is>
      </c>
      <c r="N8" s="7" t="inlineStr">
        <is>
          <t>Hold</t>
        </is>
      </c>
    </row>
    <row r="9" ht="20" customHeight="1">
      <c r="A9" s="13" t="n">
        <v>4</v>
      </c>
      <c r="B9" s="14" t="inlineStr">
        <is>
          <t>ZBH</t>
        </is>
      </c>
      <c r="C9" s="15" t="inlineStr">
        <is>
          <t>Zimmer Biomet Holdings Inc.</t>
        </is>
      </c>
      <c r="D9" s="15" t="inlineStr">
        <is>
          <t>Healthcare</t>
        </is>
      </c>
      <c r="E9" s="16" t="n">
        <v>92.61</v>
      </c>
      <c r="F9" s="17" t="n">
        <v>-0.485</v>
      </c>
      <c r="G9" s="18" t="n">
        <v>6.5</v>
      </c>
      <c r="H9" s="11" t="inlineStr">
        <is>
          <t>SPECULATIVE BUY</t>
        </is>
      </c>
      <c r="I9" s="16" t="n">
        <v>120</v>
      </c>
      <c r="J9" s="19" t="n">
        <v>0.296</v>
      </c>
      <c r="K9" s="19" t="n">
        <v>0.128</v>
      </c>
      <c r="L9" s="15" t="inlineStr">
        <is>
          <t>Procedure volume recovery slower than expected; competitive pressure from SYK</t>
        </is>
      </c>
      <c r="M9" s="15" t="inlineStr">
        <is>
          <t>Surgical robot ROSA adoption; knee/hip procedure volume recovery; margin expansion</t>
        </is>
      </c>
      <c r="N9" s="15" t="inlineStr">
        <is>
          <t>Hold</t>
        </is>
      </c>
    </row>
    <row r="10" ht="20" customHeight="1">
      <c r="A10" s="5" t="n">
        <v>5</v>
      </c>
      <c r="B10" s="6" t="inlineStr">
        <is>
          <t>MDT</t>
        </is>
      </c>
      <c r="C10" s="7" t="inlineStr">
        <is>
          <t>Medtronic plc</t>
        </is>
      </c>
      <c r="D10" s="7" t="inlineStr">
        <is>
          <t>Healthcare</t>
        </is>
      </c>
      <c r="E10" s="8" t="n">
        <v>88.31999999999999</v>
      </c>
      <c r="F10" s="9" t="n">
        <v>-0.346</v>
      </c>
      <c r="G10" s="10" t="n">
        <v>6.3</v>
      </c>
      <c r="H10" s="11" t="inlineStr">
        <is>
          <t>SPECULATIVE BUY</t>
        </is>
      </c>
      <c r="I10" s="8" t="n">
        <v>108</v>
      </c>
      <c r="J10" s="12" t="n">
        <v>0.223</v>
      </c>
      <c r="K10" s="12" t="n">
        <v>0.095</v>
      </c>
      <c r="L10" s="7" t="inlineStr">
        <is>
          <t>Innovation gap vs SYK/ABT; GLP-1 impact on procedure volumes; slow organic growth</t>
        </is>
      </c>
      <c r="M10" s="7" t="inlineStr">
        <is>
          <t>Hugo robotic surgery launch; diabetes franchise stabilization; dividend support</t>
        </is>
      </c>
      <c r="N10" s="7" t="inlineStr">
        <is>
          <t>Hold</t>
        </is>
      </c>
    </row>
    <row r="11"/>
    <row r="12" ht="30" customHeight="1">
      <c r="A12" s="20" t="inlineStr">
        <is>
          <t>PORTFOLIO CONSTRUCTION GUIDANCE  |  Strong Buy (&gt;=7.5): 3-5% position  |  Buy (6.5-7.4): 2-3% position  |  Speculative (5.0-6.4): 1% or watchlist only  |  Max single position: 5%  |  Total strategy exposure: 15-25% of portfolio  |  All positions: define stop-loss at 15-20% from entry before initiating</t>
        </is>
      </c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6" t="n"/>
    </row>
    <row r="13"/>
    <row r="14"/>
    <row r="15" ht="28" customHeight="1">
      <c r="A15" s="21" t="inlineStr">
        <is>
          <t>TOP 5 — HEALTHCARE</t>
        </is>
      </c>
    </row>
    <row r="16" ht="35" customHeight="1">
      <c r="A16" s="22" t="inlineStr">
        <is>
          <t>Rank</t>
        </is>
      </c>
      <c r="B16" s="22" t="inlineStr">
        <is>
          <t>Ticker</t>
        </is>
      </c>
      <c r="C16" s="22" t="inlineStr">
        <is>
          <t>Company</t>
        </is>
      </c>
      <c r="D16" s="22" t="inlineStr">
        <is>
          <t>Sector</t>
        </is>
      </c>
      <c r="E16" s="22" t="inlineStr">
        <is>
          <t>Price</t>
        </is>
      </c>
      <c r="F16" s="22" t="inlineStr">
        <is>
          <t>% Off High</t>
        </is>
      </c>
      <c r="G16" s="22" t="inlineStr">
        <is>
          <t>Composite
Score</t>
        </is>
      </c>
      <c r="H16" s="22" t="inlineStr">
        <is>
          <t>Recommendation</t>
        </is>
      </c>
      <c r="I16" s="22" t="inlineStr">
        <is>
          <t>Target
Price</t>
        </is>
      </c>
      <c r="J16" s="22" t="inlineStr">
        <is>
          <t>Upside
(%)</t>
        </is>
      </c>
      <c r="K16" s="22" t="inlineStr">
        <is>
          <t>Expected
Value (%)</t>
        </is>
      </c>
      <c r="L16" s="22" t="inlineStr">
        <is>
          <t>Key Risk</t>
        </is>
      </c>
      <c r="M16" s="22" t="inlineStr">
        <is>
          <t>Key Catalyst</t>
        </is>
      </c>
      <c r="N16" s="22" t="inlineStr">
        <is>
          <t>Analyst
Consensus</t>
        </is>
      </c>
    </row>
    <row r="17" ht="20" customHeight="1">
      <c r="A17" s="5" t="n">
        <v>1</v>
      </c>
      <c r="B17" s="6" t="inlineStr">
        <is>
          <t>UNH</t>
        </is>
      </c>
      <c r="C17" s="7" t="inlineStr">
        <is>
          <t>UnitedHealth Group Inc.</t>
        </is>
      </c>
      <c r="D17" s="7" t="inlineStr">
        <is>
          <t>Healthcare</t>
        </is>
      </c>
      <c r="E17" s="8" t="n">
        <v>286.8</v>
      </c>
      <c r="F17" s="9" t="n">
        <v>-0.545</v>
      </c>
      <c r="G17" s="10" t="n">
        <v>7.2</v>
      </c>
      <c r="H17" s="11" t="inlineStr">
        <is>
          <t>BUY</t>
        </is>
      </c>
      <c r="I17" s="8" t="n">
        <v>420</v>
      </c>
      <c r="J17" s="12" t="n">
        <v>0.465</v>
      </c>
      <c r="K17" s="12" t="n">
        <v>0.185</v>
      </c>
      <c r="L17" s="7" t="inlineStr">
        <is>
          <t>DOJ investigation; Medicare Advantage regulatory pressure; CEO transition</t>
        </is>
      </c>
      <c r="M17" s="7" t="inlineStr">
        <is>
          <t>DOJ resolution; MA rate normalization; earnings recovery; new CEO execution</t>
        </is>
      </c>
      <c r="N17" s="7" t="inlineStr">
        <is>
          <t>Buy</t>
        </is>
      </c>
    </row>
    <row r="18" ht="20" customHeight="1">
      <c r="A18" s="13" t="n">
        <v>2</v>
      </c>
      <c r="B18" s="14" t="inlineStr">
        <is>
          <t>BSX</t>
        </is>
      </c>
      <c r="C18" s="15" t="inlineStr">
        <is>
          <t>Boston Scientific Corp.</t>
        </is>
      </c>
      <c r="D18" s="15" t="inlineStr">
        <is>
          <t>Healthcare</t>
        </is>
      </c>
      <c r="E18" s="16" t="n">
        <v>71.20999999999999</v>
      </c>
      <c r="F18" s="17" t="n">
        <v>-0.35</v>
      </c>
      <c r="G18" s="18" t="n">
        <v>6.9</v>
      </c>
      <c r="H18" s="11" t="inlineStr">
        <is>
          <t>BUY</t>
        </is>
      </c>
      <c r="I18" s="16" t="n">
        <v>95</v>
      </c>
      <c r="J18" s="19" t="n">
        <v>0.334</v>
      </c>
      <c r="K18" s="19" t="n">
        <v>0.165</v>
      </c>
      <c r="L18" s="15" t="inlineStr">
        <is>
          <t>Elevated valuation on trailing P/E; tariff risk on medical device supply chain</t>
        </is>
      </c>
      <c r="M18" s="15" t="inlineStr">
        <is>
          <t>FARAPULSE PFA adoption curve; continued above-market organic growth; EP franchise dominance</t>
        </is>
      </c>
      <c r="N18" s="15" t="inlineStr">
        <is>
          <t>Buy</t>
        </is>
      </c>
    </row>
    <row r="19" ht="20" customHeight="1">
      <c r="A19" s="5" t="n">
        <v>3</v>
      </c>
      <c r="B19" s="6" t="inlineStr">
        <is>
          <t>NVO</t>
        </is>
      </c>
      <c r="C19" s="7" t="inlineStr">
        <is>
          <t>Novo Nordisk A/S</t>
        </is>
      </c>
      <c r="D19" s="7" t="inlineStr">
        <is>
          <t>Healthcare</t>
        </is>
      </c>
      <c r="E19" s="8" t="n">
        <v>38.52</v>
      </c>
      <c r="F19" s="9" t="n">
        <v>-0.73</v>
      </c>
      <c r="G19" s="10" t="n">
        <v>6.8</v>
      </c>
      <c r="H19" s="11" t="inlineStr">
        <is>
          <t>BUY</t>
        </is>
      </c>
      <c r="I19" s="8" t="n">
        <v>50</v>
      </c>
      <c r="J19" s="12" t="n">
        <v>0.298</v>
      </c>
      <c r="K19" s="12" t="n">
        <v>0.152</v>
      </c>
      <c r="L19" s="7" t="inlineStr">
        <is>
          <t>CagriSema approval delay; LLY market share gains; IRA pricing</t>
        </is>
      </c>
      <c r="M19" s="7" t="inlineStr">
        <is>
          <t>CagriSema FDA decision late 2026; oral Wegovy ramp; amycretin Phase 3</t>
        </is>
      </c>
      <c r="N19" s="7" t="inlineStr">
        <is>
          <t>Hold</t>
        </is>
      </c>
    </row>
    <row r="20" ht="20" customHeight="1">
      <c r="A20" s="13" t="n">
        <v>4</v>
      </c>
      <c r="B20" s="14" t="inlineStr">
        <is>
          <t>ZBH</t>
        </is>
      </c>
      <c r="C20" s="15" t="inlineStr">
        <is>
          <t>Zimmer Biomet Holdings Inc.</t>
        </is>
      </c>
      <c r="D20" s="15" t="inlineStr">
        <is>
          <t>Healthcare</t>
        </is>
      </c>
      <c r="E20" s="16" t="n">
        <v>92.61</v>
      </c>
      <c r="F20" s="17" t="n">
        <v>-0.485</v>
      </c>
      <c r="G20" s="18" t="n">
        <v>6.5</v>
      </c>
      <c r="H20" s="11" t="inlineStr">
        <is>
          <t>SPECULATIVE BUY</t>
        </is>
      </c>
      <c r="I20" s="16" t="n">
        <v>120</v>
      </c>
      <c r="J20" s="19" t="n">
        <v>0.296</v>
      </c>
      <c r="K20" s="19" t="n">
        <v>0.128</v>
      </c>
      <c r="L20" s="15" t="inlineStr">
        <is>
          <t>Procedure volume recovery slower than expected; competitive pressure from SYK</t>
        </is>
      </c>
      <c r="M20" s="15" t="inlineStr">
        <is>
          <t>Surgical robot ROSA adoption; knee/hip procedure volume recovery; margin expansion</t>
        </is>
      </c>
      <c r="N20" s="15" t="inlineStr">
        <is>
          <t>Hold</t>
        </is>
      </c>
    </row>
    <row r="21" ht="20" customHeight="1">
      <c r="A21" s="5" t="n">
        <v>5</v>
      </c>
      <c r="B21" s="6" t="inlineStr">
        <is>
          <t>MDT</t>
        </is>
      </c>
      <c r="C21" s="7" t="inlineStr">
        <is>
          <t>Medtronic plc</t>
        </is>
      </c>
      <c r="D21" s="7" t="inlineStr">
        <is>
          <t>Healthcare</t>
        </is>
      </c>
      <c r="E21" s="8" t="n">
        <v>88.31999999999999</v>
      </c>
      <c r="F21" s="9" t="n">
        <v>-0.346</v>
      </c>
      <c r="G21" s="10" t="n">
        <v>6.3</v>
      </c>
      <c r="H21" s="11" t="inlineStr">
        <is>
          <t>SPECULATIVE BUY</t>
        </is>
      </c>
      <c r="I21" s="8" t="n">
        <v>108</v>
      </c>
      <c r="J21" s="12" t="n">
        <v>0.223</v>
      </c>
      <c r="K21" s="12" t="n">
        <v>0.095</v>
      </c>
      <c r="L21" s="7" t="inlineStr">
        <is>
          <t>Innovation gap vs SYK/ABT; GLP-1 impact on procedure volumes; slow organic growth</t>
        </is>
      </c>
      <c r="M21" s="7" t="inlineStr">
        <is>
          <t>Hugo robotic surgery launch; diabetes franchise stabilization; dividend support</t>
        </is>
      </c>
      <c r="N21" s="7" t="inlineStr">
        <is>
          <t>Hold</t>
        </is>
      </c>
    </row>
    <row r="22"/>
    <row r="23"/>
    <row r="24"/>
    <row r="25" ht="22" customHeight="1">
      <c r="A25" s="23" t="inlineStr">
        <is>
          <t>SCREENED OUT — DID NOT PASS HARD FILTERS</t>
        </is>
      </c>
    </row>
    <row r="26" ht="30" customHeight="1">
      <c r="A26" s="24" t="inlineStr">
        <is>
          <t>Ticker</t>
        </is>
      </c>
      <c r="B26" s="24" t="inlineStr">
        <is>
          <t>Company</t>
        </is>
      </c>
      <c r="C26" s="24" t="inlineStr">
        <is>
          <t>Sector</t>
        </is>
      </c>
      <c r="D26" s="24" t="inlineStr">
        <is>
          <t>Filter Failed</t>
        </is>
      </c>
      <c r="E26" s="24" t="inlineStr">
        <is>
          <t>Reason</t>
        </is>
      </c>
      <c r="F26" s="24" t="inlineStr">
        <is>
          <t>Revisit If</t>
        </is>
      </c>
    </row>
    <row r="27">
      <c r="A27" s="25" t="inlineStr">
        <is>
          <t>BA</t>
        </is>
      </c>
      <c r="B27" s="25" t="inlineStr">
        <is>
          <t>Boeing Co.</t>
        </is>
      </c>
      <c r="C27" s="25" t="inlineStr">
        <is>
          <t>Industrials</t>
        </is>
      </c>
      <c r="D27" s="25" t="inlineStr">
        <is>
          <t>Recovery Filter</t>
        </is>
      </c>
      <c r="E27" s="25" t="inlineStr">
        <is>
          <t>Stock recovered 65.7% within 52-week range ($129→$211); already past early recovery phase despite -52.7% from ATH</t>
        </is>
      </c>
      <c r="F27" s="25" t="inlineStr">
        <is>
          <t>Pullback to $160-170 range on production setback would create re-entry</t>
        </is>
      </c>
    </row>
    <row r="28">
      <c r="A28" s="26" t="inlineStr">
        <is>
          <t>PFE</t>
        </is>
      </c>
      <c r="B28" s="26" t="inlineStr">
        <is>
          <t>Pfizer Inc.</t>
        </is>
      </c>
      <c r="C28" s="26" t="inlineStr">
        <is>
          <t>Healthcare</t>
        </is>
      </c>
      <c r="D28" s="26" t="inlineStr">
        <is>
          <t>Recovery + Balance Sheet</t>
        </is>
      </c>
      <c r="E28" s="26" t="inlineStr">
        <is>
          <t>92.5% recovered within 52w range (near 52w high $27.94); ND/EBITDA 3.95x exceeds 3.5x threshold</t>
        </is>
      </c>
      <c r="F28" s="26" t="inlineStr">
        <is>
          <t>Balance sheet deleveraging below 3.0x ND/EBITDA and meaningful pullback from current levels</t>
        </is>
      </c>
    </row>
    <row r="29">
      <c r="A29" s="25" t="inlineStr">
        <is>
          <t>EL</t>
        </is>
      </c>
      <c r="B29" s="25" t="inlineStr">
        <is>
          <t>Estée Lauder Cos.</t>
        </is>
      </c>
      <c r="C29" s="25" t="inlineStr">
        <is>
          <t>Consumer Defensive</t>
        </is>
      </c>
      <c r="D29" s="25" t="inlineStr">
        <is>
          <t>Balance Sheet</t>
        </is>
      </c>
      <c r="E29" s="25" t="inlineStr">
        <is>
          <t>ND/EBITDA 33.8x; near-zero EBITDA margin; interest coverage 2.4x; balance sheet cannot withstand downturn</t>
        </is>
      </c>
      <c r="F29" s="25" t="inlineStr">
        <is>
          <t>EBITDA recovery to $2B+ (from ~$200M current) would normalize leverage to &lt;3.5x</t>
        </is>
      </c>
    </row>
    <row r="30">
      <c r="A30" s="26" t="inlineStr">
        <is>
          <t>KHC</t>
        </is>
      </c>
      <c r="B30" s="26" t="inlineStr">
        <is>
          <t>Kraft Heinz Co.</t>
        </is>
      </c>
      <c r="C30" s="26" t="inlineStr">
        <is>
          <t>Consumer Defensive</t>
        </is>
      </c>
      <c r="D30" s="26" t="inlineStr">
        <is>
          <t>Balance Sheet</t>
        </is>
      </c>
      <c r="E30" s="26" t="inlineStr">
        <is>
          <t>Negative EBITDA in LTM period; negative interest coverage; value trap risk with persistent organic volume declines</t>
        </is>
      </c>
      <c r="F30" s="26" t="inlineStr">
        <is>
          <t>Return to positive EBITDA and demonstration of volume stabilization over 2+ quarters</t>
        </is>
      </c>
    </row>
    <row r="31">
      <c r="A31" s="25" t="inlineStr">
        <is>
          <t>MRNA</t>
        </is>
      </c>
      <c r="B31" s="25" t="inlineStr">
        <is>
          <t>Moderna Inc.</t>
        </is>
      </c>
      <c r="C31" s="25" t="inlineStr">
        <is>
          <t>Healthcare</t>
        </is>
      </c>
      <c r="D31" s="25" t="inlineStr">
        <is>
          <t>Recovery + Fundamentals</t>
        </is>
      </c>
      <c r="E31" s="25" t="inlineStr">
        <is>
          <t>90.3% recovered within 52w range; negative EBITDA (-$2.5B); negative FCF; burning cash; speculative pipeline-dependent</t>
        </is>
      </c>
      <c r="F31" s="25" t="inlineStr">
        <is>
          <t>RSV/flu vaccine commercial traction creates path to sustained profitability</t>
        </is>
      </c>
    </row>
    <row r="32">
      <c r="A32" s="26" t="inlineStr">
        <is>
          <t>BIIB</t>
        </is>
      </c>
      <c r="B32" s="26" t="inlineStr">
        <is>
          <t>Biogen Inc.</t>
        </is>
      </c>
      <c r="C32" s="26" t="inlineStr">
        <is>
          <t>Healthcare</t>
        </is>
      </c>
      <c r="D32" s="26" t="inlineStr">
        <is>
          <t>Recovery Filter</t>
        </is>
      </c>
      <c r="E32" s="26" t="inlineStr">
        <is>
          <t>82.5% recovered within 52w range ($110→$186); strong balance sheet (ND/EBITDA 1.01x) but recovery largely done</t>
        </is>
      </c>
      <c r="F32" s="26" t="inlineStr">
        <is>
          <t>Pullback below $140 on pipeline setback would recreate the setup</t>
        </is>
      </c>
    </row>
    <row r="33">
      <c r="A33" s="25" t="inlineStr">
        <is>
          <t>MRK</t>
        </is>
      </c>
      <c r="B33" s="25" t="inlineStr">
        <is>
          <t>Merck &amp; Co.</t>
        </is>
      </c>
      <c r="C33" s="25" t="inlineStr">
        <is>
          <t>Healthcare</t>
        </is>
      </c>
      <c r="D33" s="25" t="inlineStr">
        <is>
          <t>Selloff Threshold</t>
        </is>
      </c>
      <c r="E33" s="25" t="inlineStr">
        <is>
          <t>Only -7.0% from 52-week high; -13.2% from ATH; insufficient selloff to meet 30% threshold</t>
        </is>
      </c>
      <c r="F33" s="25" t="inlineStr">
        <is>
          <t>Keytruda patent cliff (2028) fears drive larger selloff to $85-90 range</t>
        </is>
      </c>
    </row>
    <row r="34">
      <c r="A34" s="26" t="inlineStr">
        <is>
          <t>BMY</t>
        </is>
      </c>
      <c r="B34" s="26" t="inlineStr">
        <is>
          <t>Bristol-Myers Squibb</t>
        </is>
      </c>
      <c r="C34" s="26" t="inlineStr">
        <is>
          <t>Healthcare</t>
        </is>
      </c>
      <c r="D34" s="26" t="inlineStr">
        <is>
          <t>Selloff Threshold</t>
        </is>
      </c>
      <c r="E34" s="26" t="inlineStr">
        <is>
          <t>Only -3.5% from 52-week high; stock has recovered from LOE fears; insufficient selloff</t>
        </is>
      </c>
      <c r="F34" s="26" t="inlineStr">
        <is>
          <t>Reversal below $45 would recreate opportunity</t>
        </is>
      </c>
    </row>
    <row r="35">
      <c r="A35" s="25" t="inlineStr">
        <is>
          <t>RTX</t>
        </is>
      </c>
      <c r="B35" s="25" t="inlineStr">
        <is>
          <t>RTX Corporation</t>
        </is>
      </c>
      <c r="C35" s="25" t="inlineStr">
        <is>
          <t>Defense / Aerospace</t>
        </is>
      </c>
      <c r="D35" s="25" t="inlineStr">
        <is>
          <t>Selloff Threshold</t>
        </is>
      </c>
      <c r="E35" s="25" t="inlineStr">
        <is>
          <t>Only -5.2% from 52-week high; defense stocks near all-time highs on geopolitical tailwinds</t>
        </is>
      </c>
      <c r="F35" s="25" t="inlineStr">
        <is>
          <t>Defense budget cut fears or contract cancellation drives selloff &gt;30%</t>
        </is>
      </c>
    </row>
    <row r="36">
      <c r="A36" s="26" t="inlineStr">
        <is>
          <t>CVS</t>
        </is>
      </c>
      <c r="B36" s="26" t="inlineStr">
        <is>
          <t>CVS Health Corp.</t>
        </is>
      </c>
      <c r="C36" s="26" t="inlineStr">
        <is>
          <t>Healthcare</t>
        </is>
      </c>
      <c r="D36" s="26" t="inlineStr">
        <is>
          <t>Balance Sheet</t>
        </is>
      </c>
      <c r="E36" s="26" t="inlineStr">
        <is>
          <t>ND/EBITDA 8.41x far exceeds 3.5x threshold; massive debt from Aetna/Signify/Oak Street acquisitions</t>
        </is>
      </c>
      <c r="F36" s="26" t="inlineStr">
        <is>
          <t>Aggressive deleveraging below 4x ND/EBITDA; Oak Street/Signify turnaround proof</t>
        </is>
      </c>
    </row>
    <row r="37">
      <c r="A37" s="25" t="inlineStr">
        <is>
          <t>DG</t>
        </is>
      </c>
      <c r="B37" s="25" t="inlineStr">
        <is>
          <t>Dollar General</t>
        </is>
      </c>
      <c r="C37" s="25" t="inlineStr">
        <is>
          <t>Consumer Defensive</t>
        </is>
      </c>
      <c r="D37" s="25" t="inlineStr">
        <is>
          <t>Balance Sheet</t>
        </is>
      </c>
      <c r="E37" s="25" t="inlineStr">
        <is>
          <t>ND/EBITDA 4.49x exceeds 3.5x threshold; operational execution issues; store-level deterioration</t>
        </is>
      </c>
      <c r="F37" s="25" t="inlineStr">
        <is>
          <t>New management execution; deleveraging below 3.5x; same-store sales recovery</t>
        </is>
      </c>
    </row>
  </sheetData>
  <mergeCells count="7">
    <mergeCell ref="A3:N3"/>
    <mergeCell ref="A12:N12"/>
    <mergeCell ref="A4:N4"/>
    <mergeCell ref="A2:N2"/>
    <mergeCell ref="A15:N15"/>
    <mergeCell ref="A25:F2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6" customWidth="1" min="10" max="10"/>
  </cols>
  <sheetData>
    <row r="1" ht="36" customHeight="1">
      <c r="A1" s="27" t="inlineStr">
        <is>
          <t>COMPOSITE SCORING MATRIX</t>
        </is>
      </c>
    </row>
    <row r="2" ht="40" customHeight="1">
      <c r="A2" s="4" t="inlineStr">
        <is>
          <t>Ticker</t>
        </is>
      </c>
      <c r="B2" s="4" t="inlineStr">
        <is>
          <t>Sector</t>
        </is>
      </c>
      <c r="C2" s="4" t="inlineStr">
        <is>
          <t>Valuation
(w=25%)</t>
        </is>
      </c>
      <c r="D2" s="4" t="inlineStr">
        <is>
          <t>Balance Sheet
(w=20%)</t>
        </is>
      </c>
      <c r="E2" s="4" t="inlineStr">
        <is>
          <t>Catalyst
(w=20%)</t>
        </is>
      </c>
      <c r="F2" s="4" t="inlineStr">
        <is>
          <t>Selloff Quality
(w=15%)</t>
        </is>
      </c>
      <c r="G2" s="4" t="inlineStr">
        <is>
          <t>Industry Protection
(w=10%)</t>
        </is>
      </c>
      <c r="H2" s="4" t="inlineStr">
        <is>
          <t>Analyst Conviction
(w=10%)</t>
        </is>
      </c>
      <c r="I2" s="4" t="inlineStr">
        <is>
          <t>Composite
Score</t>
        </is>
      </c>
      <c r="J2" s="4" t="inlineStr">
        <is>
          <t>Rec.</t>
        </is>
      </c>
    </row>
    <row r="3">
      <c r="A3" s="28" t="inlineStr">
        <is>
          <t>Scores: 0-10 per criterion  |  Blue = Hardcoded inputs  |  Black = Formulas  |  Weighted composite = sum of (score x weight)</t>
        </is>
      </c>
    </row>
    <row r="4" ht="24" customHeight="1">
      <c r="A4" s="29" t="inlineStr">
        <is>
          <t>HEALTHCARE</t>
        </is>
      </c>
    </row>
    <row r="5">
      <c r="A5" s="30" t="inlineStr">
        <is>
          <t>UNH</t>
        </is>
      </c>
      <c r="B5" s="31" t="inlineStr">
        <is>
          <t>Healthcare</t>
        </is>
      </c>
      <c r="C5" s="32" t="n">
        <v>7.5</v>
      </c>
      <c r="D5" s="32" t="n">
        <v>7.5</v>
      </c>
      <c r="E5" s="32" t="n">
        <v>7</v>
      </c>
      <c r="F5" s="32" t="n">
        <v>7</v>
      </c>
      <c r="G5" s="32" t="n">
        <v>9</v>
      </c>
      <c r="H5" s="32" t="n">
        <v>6.5</v>
      </c>
      <c r="I5" s="33">
        <f>C5*0.25+D5*0.2+E5*0.2+F5*0.15+G5*0.1+H5*0.1</f>
        <v/>
      </c>
      <c r="J5" s="34">
        <f>IF(I5&gt;=7.5,"STRONG BUY",IF(I5&gt;=6.5,"BUY",IF(I5&gt;=5,"SPECULATIVE BUY","PASS")))</f>
        <v/>
      </c>
    </row>
    <row r="6" ht="42" customHeight="1">
      <c r="A6" s="35" t="inlineStr">
        <is>
          <t>Rationale:</t>
        </is>
      </c>
      <c r="C6" s="36" t="inlineStr">
        <is>
          <t>21.7x trailing P/E vs 22x 5-yr avg; modest discount but enormous FCF ($16B) and scale justify premium; cheapest in years</t>
        </is>
      </c>
      <c r="D6" s="36" t="inlineStr">
        <is>
          <t>ND/EBITDA 2.18x; A+ credit; $16.1B FCF; interest coverage 4.7x; manageable leverage for a $260B company</t>
        </is>
      </c>
      <c r="E6" s="36" t="inlineStr">
        <is>
          <t>DOJ investigation resolution could remove major overhang; Medicare Advantage rate cycle normalization; Optum growth reacceleration; new management reset</t>
        </is>
      </c>
      <c r="F6" s="36" t="inlineStr">
        <is>
          <t>Company-specific governance and regulatory issues, NOT structural decline in healthcare demand; MCO model is intact; 52M+ members</t>
        </is>
      </c>
      <c r="G6" s="36" t="inlineStr">
        <is>
          <t>Health insurance is essential and non-discretionary; aging population is structural tailwind; government-funded programs provide demand floor</t>
        </is>
      </c>
      <c r="H6" s="36" t="inlineStr">
        <is>
          <t>Majority buy-rated despite selloff; analysts view DOJ as manageable; consensus target well above current price</t>
        </is>
      </c>
    </row>
    <row r="7">
      <c r="A7" s="30" t="inlineStr">
        <is>
          <t>BSX</t>
        </is>
      </c>
      <c r="B7" s="31" t="inlineStr">
        <is>
          <t>Healthcare</t>
        </is>
      </c>
      <c r="C7" s="37" t="n">
        <v>5.5</v>
      </c>
      <c r="D7" s="37" t="n">
        <v>7</v>
      </c>
      <c r="E7" s="37" t="n">
        <v>7.5</v>
      </c>
      <c r="F7" s="37" t="n">
        <v>7.5</v>
      </c>
      <c r="G7" s="37" t="n">
        <v>8</v>
      </c>
      <c r="H7" s="37" t="n">
        <v>7.5</v>
      </c>
      <c r="I7" s="33">
        <f>C7*0.25+D7*0.2+E7*0.2+F7*0.15+G7*0.1+H7*0.1</f>
        <v/>
      </c>
      <c r="J7" s="34">
        <f>IF(I7&gt;=7.5,"STRONG BUY",IF(I7&gt;=6.5,"BUY",IF(I7&gt;=5,"SPECULATIVE BUY","PASS")))</f>
        <v/>
      </c>
    </row>
    <row r="8" ht="42" customHeight="1">
      <c r="A8" s="35" t="inlineStr">
        <is>
          <t>Rationale:</t>
        </is>
      </c>
      <c r="C8" s="36" t="inlineStr">
        <is>
          <t>36.7x trailing P/E looks expensive but reflects 12%+ organic growth; EV/EBITDA of 31x is rich; however P/FCF of 28.6x is more reasonable for a high-growth med-tech</t>
        </is>
      </c>
      <c r="D8" s="36" t="inlineStr">
        <is>
          <t>ND/EBITDA 2.78x; BBB credit; $3.7B FCF; adequate for continued investment; leverage trending down</t>
        </is>
      </c>
      <c r="E8" s="36" t="inlineStr">
        <is>
          <t>FARAPULSE pulsed field ablation is transforming electrophysiology; ACURATE neo2 TAVR gaining share; POLARx cryoablation; multiple near-term product launches driving above-market growth</t>
        </is>
      </c>
      <c r="F8" s="36" t="inlineStr">
        <is>
          <t>Broad med-tech selloff driven by tariff fears and sector rotation, NOT company-specific issues; BSX was the top organic grower in med-tech before the selloff</t>
        </is>
      </c>
      <c r="G8" s="36" t="inlineStr">
        <is>
          <t>Cardiac rhythm management, electrophysiology, and interventional cardiology are essential procedures; aging population = structural demand growth</t>
        </is>
      </c>
      <c r="H8" s="36" t="inlineStr">
        <is>
          <t>Strong buy consensus; BSX was consensus overweight before selloff; most analysts view this as entry opportunity; target prices cluster around $95-115</t>
        </is>
      </c>
    </row>
    <row r="9">
      <c r="A9" s="30" t="inlineStr">
        <is>
          <t>NVO</t>
        </is>
      </c>
      <c r="B9" s="31" t="inlineStr">
        <is>
          <t>Healthcare</t>
        </is>
      </c>
      <c r="C9" s="32" t="n">
        <v>8.5</v>
      </c>
      <c r="D9" s="32" t="n">
        <v>8.5</v>
      </c>
      <c r="E9" s="32" t="n">
        <v>7</v>
      </c>
      <c r="F9" s="32" t="n">
        <v>5.5</v>
      </c>
      <c r="G9" s="32" t="n">
        <v>8</v>
      </c>
      <c r="H9" s="32" t="n">
        <v>4</v>
      </c>
      <c r="I9" s="33">
        <f>C9*0.25+D9*0.2+E9*0.2+F9*0.15+G9*0.1+H9*0.1</f>
        <v/>
      </c>
      <c r="J9" s="34">
        <f>IF(I9&gt;=7.5,"STRONG BUY",IF(I9&gt;=6.5,"BUY",IF(I9&gt;=5,"SPECULATIVE BUY","PASS")))</f>
        <v/>
      </c>
    </row>
    <row r="10" ht="42" customHeight="1">
      <c r="A10" s="35" t="inlineStr">
        <is>
          <t>Rationale:</t>
        </is>
      </c>
      <c r="C10" s="36" t="inlineStr">
        <is>
          <t>12.0x fwd P/E vs 37.5x 5-yr avg and 18.8x sector avg; 50% discount to peer EV/EBITDA; trough multiples not seen in a decade</t>
        </is>
      </c>
      <c r="D10" s="36" t="inlineStr">
        <is>
          <t>ND/EBITDA 0.72x; AA- credit; $8.6B FCF; interest coverage &gt;14x; can self-fund recovery and M&amp;A</t>
        </is>
      </c>
      <c r="E10" s="36" t="inlineStr">
        <is>
          <t>CagriSema FDA decision late 2026; oral Wegovy 170K patients in 4 weeks; amycretin Phase 3 initiated; Medicare obesity coverage Jul 2026</t>
        </is>
      </c>
      <c r="F10" s="36" t="inlineStr">
        <is>
          <t>Multiple compounding issues (trial miss, guidance cuts, pricing pressure, competition); not a single clean overreaction but fundamentals still strong</t>
        </is>
      </c>
      <c r="G10" s="36" t="inlineStr">
        <is>
          <t>GLP-1 drugs are medically necessary for diabetes/obesity; 40M+ potential Medicare beneficiaries; demand is inelastic and structurally growing</t>
        </is>
      </c>
      <c r="H10" s="36" t="inlineStr">
        <is>
          <t>Only 2/11 buy-rated; 7 holds, 2 sells; consensus is cautious; recent wave of downgrades from TD Cowen, Goldman, Deutsche Bank</t>
        </is>
      </c>
    </row>
    <row r="11">
      <c r="A11" s="30" t="inlineStr">
        <is>
          <t>ZBH</t>
        </is>
      </c>
      <c r="B11" s="31" t="inlineStr">
        <is>
          <t>Healthcare</t>
        </is>
      </c>
      <c r="C11" s="37" t="n">
        <v>6.5</v>
      </c>
      <c r="D11" s="37" t="n">
        <v>6</v>
      </c>
      <c r="E11" s="37" t="n">
        <v>5.5</v>
      </c>
      <c r="F11" s="37" t="n">
        <v>6.5</v>
      </c>
      <c r="G11" s="37" t="n">
        <v>8</v>
      </c>
      <c r="H11" s="37" t="n">
        <v>5.5</v>
      </c>
      <c r="I11" s="33">
        <f>C11*0.25+D11*0.2+E11*0.2+F11*0.15+G11*0.1+H11*0.1</f>
        <v/>
      </c>
      <c r="J11" s="34">
        <f>IF(I11&gt;=7.5,"STRONG BUY",IF(I11&gt;=6.5,"BUY",IF(I11&gt;=5,"SPECULATIVE BUY","PASS")))</f>
        <v/>
      </c>
    </row>
    <row r="12" ht="42" customHeight="1">
      <c r="A12" s="35" t="inlineStr">
        <is>
          <t>Rationale:</t>
        </is>
      </c>
      <c r="C12" s="36" t="inlineStr">
        <is>
          <t>26.1x trailing P/E vs 22x 5-yr avg; elevated but EV/EBITDA of 11.4x is below peer avg of 18x; reasonable on FCF basis</t>
        </is>
      </c>
      <c r="D12" s="36" t="inlineStr">
        <is>
          <t>ND/EBITDA 3.12x; BBB credit; $1.5B FCF; manageable but needs deleveraging; interest coverage 4.7x adequate</t>
        </is>
      </c>
      <c r="E12" s="36" t="inlineStr">
        <is>
          <t>ROSA robotic surgery platform gaining traction; orthopedic procedure backlog from COVID still unwinding; aging demographics structural tailwind</t>
        </is>
      </c>
      <c r="F12" s="36" t="inlineStr">
        <is>
          <t>Execution issues and competitive pressure from SYK/MDT; not structural — hip/knee replacement demand is permanent and growing</t>
        </is>
      </c>
      <c r="G12" s="36" t="inlineStr">
        <is>
          <t>Orthopedic implants are medically necessary; aging population drives structural volume growth; high barriers to entry</t>
        </is>
      </c>
      <c r="H12" s="36" t="inlineStr">
        <is>
          <t>Mixed consensus; some analysts see value at current levels but want execution proof; target dispersion is moderate</t>
        </is>
      </c>
    </row>
    <row r="13">
      <c r="A13" s="30" t="inlineStr">
        <is>
          <t>MDT</t>
        </is>
      </c>
      <c r="B13" s="31" t="inlineStr">
        <is>
          <t>Healthcare</t>
        </is>
      </c>
      <c r="C13" s="32" t="n">
        <v>6</v>
      </c>
      <c r="D13" s="32" t="n">
        <v>7.5</v>
      </c>
      <c r="E13" s="32" t="n">
        <v>5</v>
      </c>
      <c r="F13" s="32" t="n">
        <v>6</v>
      </c>
      <c r="G13" s="32" t="n">
        <v>8</v>
      </c>
      <c r="H13" s="32" t="n">
        <v>5.5</v>
      </c>
      <c r="I13" s="33">
        <f>C13*0.25+D13*0.2+E13*0.2+F13*0.15+G13*0.1+H13*0.1</f>
        <v/>
      </c>
      <c r="J13" s="34">
        <f>IF(I13&gt;=7.5,"STRONG BUY",IF(I13&gt;=6.5,"BUY",IF(I13&gt;=5,"SPECULATIVE BUY","PASS")))</f>
        <v/>
      </c>
    </row>
    <row r="14" ht="42" customHeight="1">
      <c r="A14" s="35" t="inlineStr">
        <is>
          <t>Rationale:</t>
        </is>
      </c>
      <c r="C14" s="36" t="inlineStr">
        <is>
          <t>24.5x trailing P/E vs 20x 5-yr avg; not deeply discounted but 3.2% div yield provides floor; reasonable on EV/EBITDA</t>
        </is>
      </c>
      <c r="D14" s="36" t="inlineStr">
        <is>
          <t>ND/EBITDA 2.12x; A credit; $5.2B FCF; strong balance sheet with capacity for investment and M&amp;A</t>
        </is>
      </c>
      <c r="E14" s="36" t="inlineStr">
        <is>
          <t>Hugo robotic surgery system launch; diabetes continuous glucose monitoring improvements; cardiac rhythm management growth; but catalysts are slower-moving</t>
        </is>
      </c>
      <c r="F14" s="36" t="inlineStr">
        <is>
          <t>Persistent innovation gap vs faster-growing SYK and ABT; GLP-1 drugs may reduce bariatric/cardiac procedure volumes long-term; execution concerns</t>
        </is>
      </c>
      <c r="G14" s="36" t="inlineStr">
        <is>
          <t>Medical devices are essential; aging population structural tailwind; hospital capex budgets recovering; diversified across many therapeutic areas</t>
        </is>
      </c>
      <c r="H14" s="36" t="inlineStr">
        <is>
          <t>Mostly hold-rated; analysts respect the franchise but want to see acceleration; consensus target offers modest upside</t>
        </is>
      </c>
    </row>
  </sheetData>
  <mergeCells count="3">
    <mergeCell ref="A1:J1"/>
    <mergeCell ref="A4:J4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4" customWidth="1" min="16" max="16"/>
    <col width="12" customWidth="1" min="17" max="17"/>
  </cols>
  <sheetData>
    <row r="1" ht="36" customHeight="1">
      <c r="A1" s="27" t="inlineStr">
        <is>
          <t>VALUATION ANALYSIS &amp; COMPARABLE COMPANIES</t>
        </is>
      </c>
    </row>
    <row r="2" ht="40" customHeight="1">
      <c r="A2" s="4" t="inlineStr">
        <is>
          <t>Ticker</t>
        </is>
      </c>
      <c r="B2" s="4" t="inlineStr">
        <is>
          <t>Sector</t>
        </is>
      </c>
      <c r="C2" s="4" t="inlineStr">
        <is>
          <t>Price</t>
        </is>
      </c>
      <c r="D2" s="4" t="inlineStr">
        <is>
          <t>Fwd P/E</t>
        </is>
      </c>
      <c r="E2" s="4" t="inlineStr">
        <is>
          <t>Sector Avg P/E</t>
        </is>
      </c>
      <c r="F2" s="4" t="inlineStr">
        <is>
          <t>5-Yr Hist P/E</t>
        </is>
      </c>
      <c r="G2" s="4" t="inlineStr">
        <is>
          <t>P/E vs. Hist (%)</t>
        </is>
      </c>
      <c r="H2" s="4" t="inlineStr">
        <is>
          <t>EV/EBITDA</t>
        </is>
      </c>
      <c r="I2" s="4" t="inlineStr">
        <is>
          <t>Peer Avg EV/EBITDA</t>
        </is>
      </c>
      <c r="J2" s="4" t="inlineStr">
        <is>
          <t>EV/EBITDA vs. Peers (%)</t>
        </is>
      </c>
      <c r="K2" s="4" t="inlineStr">
        <is>
          <t>P/FCF</t>
        </is>
      </c>
      <c r="L2" s="4" t="inlineStr">
        <is>
          <t>EV/Sales</t>
        </is>
      </c>
      <c r="M2" s="4" t="inlineStr">
        <is>
          <t>Bear Target</t>
        </is>
      </c>
      <c r="N2" s="4" t="inlineStr">
        <is>
          <t>Base Target</t>
        </is>
      </c>
      <c r="O2" s="4" t="inlineStr">
        <is>
          <t>Bull Target</t>
        </is>
      </c>
      <c r="P2" s="4" t="inlineStr">
        <is>
          <t>Analyst Avg Target</t>
        </is>
      </c>
      <c r="Q2" s="4" t="inlineStr">
        <is>
          <t>Implied Upside</t>
        </is>
      </c>
    </row>
    <row r="3" ht="18" customHeight="1">
      <c r="A3" s="6" t="inlineStr">
        <is>
          <t>NVO</t>
        </is>
      </c>
      <c r="B3" s="7" t="inlineStr">
        <is>
          <t>Healthcare</t>
        </is>
      </c>
      <c r="C3" s="8" t="n">
        <v>38.52</v>
      </c>
      <c r="D3" s="38" t="n">
        <v>12</v>
      </c>
      <c r="E3" s="38" t="n">
        <v>18.8</v>
      </c>
      <c r="F3" s="38" t="n">
        <v>37.5</v>
      </c>
      <c r="G3" s="12">
        <f>(D3-F3)/F3</f>
        <v/>
      </c>
      <c r="H3" s="38" t="n">
        <v>8.9</v>
      </c>
      <c r="I3" s="38" t="n">
        <v>17</v>
      </c>
      <c r="J3" s="12">
        <f>(H3-I3)/I3</f>
        <v/>
      </c>
      <c r="K3" s="38" t="n">
        <v>20</v>
      </c>
      <c r="L3" s="38" t="n">
        <v>3.8</v>
      </c>
      <c r="M3" s="8" t="n">
        <v>30</v>
      </c>
      <c r="N3" s="8" t="n">
        <v>50</v>
      </c>
      <c r="O3" s="8" t="n">
        <v>70</v>
      </c>
      <c r="P3" s="8" t="n">
        <v>51</v>
      </c>
      <c r="Q3" s="12">
        <f>(P3-C3)/C3</f>
        <v/>
      </c>
    </row>
    <row r="4" ht="18" customHeight="1">
      <c r="A4" s="14" t="inlineStr">
        <is>
          <t>UNH</t>
        </is>
      </c>
      <c r="B4" s="15" t="inlineStr">
        <is>
          <t>Healthcare</t>
        </is>
      </c>
      <c r="C4" s="16" t="n">
        <v>286.8</v>
      </c>
      <c r="D4" s="39" t="n">
        <v>22.8</v>
      </c>
      <c r="E4" s="39" t="n">
        <v>18.8</v>
      </c>
      <c r="F4" s="39" t="n">
        <v>22</v>
      </c>
      <c r="G4" s="19">
        <f>(D4-F4)/F4</f>
        <v/>
      </c>
      <c r="H4" s="39" t="n">
        <v>13.5</v>
      </c>
      <c r="I4" s="39" t="n">
        <v>14</v>
      </c>
      <c r="J4" s="19">
        <f>(H4-I4)/I4</f>
        <v/>
      </c>
      <c r="K4" s="39" t="n">
        <v>16.2</v>
      </c>
      <c r="L4" s="39" t="n">
        <v>0.7</v>
      </c>
      <c r="M4" s="16" t="n">
        <v>220</v>
      </c>
      <c r="N4" s="16" t="n">
        <v>420</v>
      </c>
      <c r="O4" s="16" t="n">
        <v>550</v>
      </c>
      <c r="P4" s="16" t="n">
        <v>450</v>
      </c>
      <c r="Q4" s="19">
        <f>(P4-C4)/C4</f>
        <v/>
      </c>
    </row>
    <row r="5" ht="18" customHeight="1">
      <c r="A5" s="6" t="inlineStr">
        <is>
          <t>ZBH</t>
        </is>
      </c>
      <c r="B5" s="7" t="inlineStr">
        <is>
          <t>Healthcare</t>
        </is>
      </c>
      <c r="C5" s="8" t="n">
        <v>92.61</v>
      </c>
      <c r="D5" s="38" t="n">
        <v>27.4</v>
      </c>
      <c r="E5" s="38" t="n">
        <v>25</v>
      </c>
      <c r="F5" s="38" t="n">
        <v>22</v>
      </c>
      <c r="G5" s="12">
        <f>(D5-F5)/F5</f>
        <v/>
      </c>
      <c r="H5" s="38" t="n">
        <v>11.4</v>
      </c>
      <c r="I5" s="38" t="n">
        <v>18</v>
      </c>
      <c r="J5" s="12">
        <f>(H5-I5)/I5</f>
        <v/>
      </c>
      <c r="K5" s="38" t="n">
        <v>12.3</v>
      </c>
      <c r="L5" s="38" t="n">
        <v>3.1</v>
      </c>
      <c r="M5" s="8" t="n">
        <v>75</v>
      </c>
      <c r="N5" s="8" t="n">
        <v>120</v>
      </c>
      <c r="O5" s="8" t="n">
        <v>145</v>
      </c>
      <c r="P5" s="8" t="n">
        <v>110</v>
      </c>
      <c r="Q5" s="12">
        <f>(P5-C5)/C5</f>
        <v/>
      </c>
    </row>
    <row r="6" ht="18" customHeight="1">
      <c r="A6" s="14" t="inlineStr">
        <is>
          <t>MDT</t>
        </is>
      </c>
      <c r="B6" s="15" t="inlineStr">
        <is>
          <t>Healthcare</t>
        </is>
      </c>
      <c r="C6" s="16" t="n">
        <v>88.31999999999999</v>
      </c>
      <c r="D6" s="39" t="n">
        <v>25.7</v>
      </c>
      <c r="E6" s="39" t="n">
        <v>25</v>
      </c>
      <c r="F6" s="39" t="n">
        <v>20</v>
      </c>
      <c r="G6" s="19">
        <f>(D6-F6)/F6</f>
        <v/>
      </c>
      <c r="H6" s="39" t="n">
        <v>14.4</v>
      </c>
      <c r="I6" s="39" t="n">
        <v>18</v>
      </c>
      <c r="J6" s="19">
        <f>(H6-I6)/I6</f>
        <v/>
      </c>
      <c r="K6" s="39" t="n">
        <v>21.8</v>
      </c>
      <c r="L6" s="39" t="n">
        <v>4</v>
      </c>
      <c r="M6" s="16" t="n">
        <v>75</v>
      </c>
      <c r="N6" s="16" t="n">
        <v>108</v>
      </c>
      <c r="O6" s="16" t="n">
        <v>130</v>
      </c>
      <c r="P6" s="16" t="n">
        <v>100</v>
      </c>
      <c r="Q6" s="19">
        <f>(P6-C6)/C6</f>
        <v/>
      </c>
    </row>
    <row r="7" ht="18" customHeight="1">
      <c r="A7" s="6" t="inlineStr">
        <is>
          <t>BSX</t>
        </is>
      </c>
      <c r="B7" s="7" t="inlineStr">
        <is>
          <t>Healthcare</t>
        </is>
      </c>
      <c r="C7" s="8" t="n">
        <v>71.20999999999999</v>
      </c>
      <c r="D7" s="38" t="n">
        <v>38.5</v>
      </c>
      <c r="E7" s="38" t="n">
        <v>25</v>
      </c>
      <c r="F7" s="38" t="n">
        <v>30</v>
      </c>
      <c r="G7" s="12">
        <f>(D7-F7)/F7</f>
        <v/>
      </c>
      <c r="H7" s="38" t="n">
        <v>31.1</v>
      </c>
      <c r="I7" s="38" t="n">
        <v>18</v>
      </c>
      <c r="J7" s="12">
        <f>(H7-I7)/I7</f>
        <v/>
      </c>
      <c r="K7" s="38" t="n">
        <v>28.6</v>
      </c>
      <c r="L7" s="38" t="n">
        <v>5.8</v>
      </c>
      <c r="M7" s="8" t="n">
        <v>60</v>
      </c>
      <c r="N7" s="8" t="n">
        <v>95</v>
      </c>
      <c r="O7" s="8" t="n">
        <v>120</v>
      </c>
      <c r="P7" s="8" t="n">
        <v>105</v>
      </c>
      <c r="Q7" s="12">
        <f>(P7-C7)/C7</f>
        <v/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0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27" t="inlineStr">
        <is>
          <t>FUNDAMENTAL DATA — INCOME STATEMENT, BALANCE SHEET &amp; CASH FLOW SUMMARY</t>
        </is>
      </c>
    </row>
    <row r="2" ht="40" customHeight="1">
      <c r="A2" s="4" t="inlineStr">
        <is>
          <t>Ticker</t>
        </is>
      </c>
      <c r="B2" s="4" t="inlineStr">
        <is>
          <t>Company</t>
        </is>
      </c>
      <c r="C2" s="4" t="inlineStr">
        <is>
          <t>Sector</t>
        </is>
      </c>
      <c r="D2" s="4" t="inlineStr">
        <is>
          <t>Mkt Cap ($B)</t>
        </is>
      </c>
      <c r="E2" s="4" t="inlineStr">
        <is>
          <t>EV ($B)</t>
        </is>
      </c>
      <c r="F2" s="4" t="inlineStr">
        <is>
          <t>Rev LTM ($B)</t>
        </is>
      </c>
      <c r="G2" s="4" t="inlineStr">
        <is>
          <t>Rev NTM ($B)</t>
        </is>
      </c>
      <c r="H2" s="4" t="inlineStr">
        <is>
          <t>Rev Growth (%)</t>
        </is>
      </c>
      <c r="I2" s="4" t="inlineStr">
        <is>
          <t>EBITDA Mgn (%)</t>
        </is>
      </c>
      <c r="J2" s="4" t="inlineStr">
        <is>
          <t>EPS LTM</t>
        </is>
      </c>
      <c r="K2" s="4" t="inlineStr">
        <is>
          <t>EPS NTM</t>
        </is>
      </c>
      <c r="L2" s="4" t="inlineStr">
        <is>
          <t>EPS 3Y CAGR (%)</t>
        </is>
      </c>
      <c r="M2" s="4" t="inlineStr">
        <is>
          <t>Net Cash/(Debt) ($B)</t>
        </is>
      </c>
      <c r="N2" s="4" t="inlineStr">
        <is>
          <t>ND/EBITDA</t>
        </is>
      </c>
      <c r="O2" s="4" t="inlineStr">
        <is>
          <t>Interest Cov.</t>
        </is>
      </c>
      <c r="P2" s="4" t="inlineStr">
        <is>
          <t>Credit Rating</t>
        </is>
      </c>
      <c r="Q2" s="4" t="inlineStr">
        <is>
          <t>FCF LTM ($B)</t>
        </is>
      </c>
      <c r="R2" s="4" t="inlineStr">
        <is>
          <t>FCF Yield (%)</t>
        </is>
      </c>
      <c r="S2" s="4" t="inlineStr">
        <is>
          <t>Capex/Rev (%)</t>
        </is>
      </c>
      <c r="T2" s="4" t="inlineStr">
        <is>
          <t>Div Yield (%)</t>
        </is>
      </c>
    </row>
    <row r="3" ht="18" customHeight="1">
      <c r="A3" s="6" t="inlineStr">
        <is>
          <t>NVO</t>
        </is>
      </c>
      <c r="B3" s="7" t="inlineStr">
        <is>
          <t>Novo Nordisk A/S</t>
        </is>
      </c>
      <c r="C3" s="7" t="inlineStr">
        <is>
          <t>Healthcare</t>
        </is>
      </c>
      <c r="D3" s="40" t="n">
        <v>171.2</v>
      </c>
      <c r="E3" s="40" t="n">
        <v>186.5</v>
      </c>
      <c r="F3" s="40" t="n">
        <v>48.6</v>
      </c>
      <c r="G3" s="40" t="n">
        <v>43.4</v>
      </c>
      <c r="H3" s="12">
        <f>(G3-F3)/F3</f>
        <v/>
      </c>
      <c r="I3" s="9" t="n">
        <v>0.484</v>
      </c>
      <c r="J3" s="8" t="n">
        <v>3.54</v>
      </c>
      <c r="K3" s="8" t="n">
        <v>3.15</v>
      </c>
      <c r="L3" s="9" t="n">
        <v>0.127</v>
      </c>
      <c r="M3" s="41" t="n">
        <v>-14.5</v>
      </c>
      <c r="N3" s="38" t="n">
        <v>0.72</v>
      </c>
      <c r="O3" s="38" t="n">
        <v>19.9</v>
      </c>
      <c r="P3" s="6" t="inlineStr">
        <is>
          <t>AA-</t>
        </is>
      </c>
      <c r="Q3" s="40" t="n">
        <v>8.6</v>
      </c>
      <c r="R3" s="12">
        <f>Q3/D3</f>
        <v/>
      </c>
      <c r="S3" s="9" t="n">
        <v>0.194</v>
      </c>
      <c r="T3" s="9" t="n">
        <v>0.032</v>
      </c>
    </row>
    <row r="4" ht="18" customHeight="1">
      <c r="A4" s="14" t="inlineStr">
        <is>
          <t>UNH</t>
        </is>
      </c>
      <c r="B4" s="15" t="inlineStr">
        <is>
          <t>UnitedHealth Group Inc.</t>
        </is>
      </c>
      <c r="C4" s="15" t="inlineStr">
        <is>
          <t>Healthcare</t>
        </is>
      </c>
      <c r="D4" s="42" t="n">
        <v>260.3</v>
      </c>
      <c r="E4" s="42" t="n">
        <v>310.6</v>
      </c>
      <c r="F4" s="42" t="n">
        <v>447.6</v>
      </c>
      <c r="G4" s="42" t="n">
        <v>470</v>
      </c>
      <c r="H4" s="19">
        <f>(G4-F4)/F4</f>
        <v/>
      </c>
      <c r="I4" s="17" t="n">
        <v>0.052</v>
      </c>
      <c r="J4" s="16" t="n">
        <v>13.23</v>
      </c>
      <c r="K4" s="16" t="n">
        <v>12.6</v>
      </c>
      <c r="L4" s="17" t="n">
        <v>0.08</v>
      </c>
      <c r="M4" s="43" t="n">
        <v>-50.3</v>
      </c>
      <c r="N4" s="39" t="n">
        <v>2.18</v>
      </c>
      <c r="O4" s="39" t="n">
        <v>4.7</v>
      </c>
      <c r="P4" s="14" t="inlineStr">
        <is>
          <t>A+</t>
        </is>
      </c>
      <c r="Q4" s="42" t="n">
        <v>16.1</v>
      </c>
      <c r="R4" s="19">
        <f>Q4/D4</f>
        <v/>
      </c>
      <c r="S4" s="17" t="n">
        <v>0.012</v>
      </c>
      <c r="T4" s="17" t="n">
        <v>0.031</v>
      </c>
    </row>
    <row r="5" ht="18" customHeight="1">
      <c r="A5" s="6" t="inlineStr">
        <is>
          <t>ZBH</t>
        </is>
      </c>
      <c r="B5" s="7" t="inlineStr">
        <is>
          <t>Zimmer Biomet Holdings Inc.</t>
        </is>
      </c>
      <c r="C5" s="7" t="inlineStr">
        <is>
          <t>Healthcare</t>
        </is>
      </c>
      <c r="D5" s="40" t="n">
        <v>18.4</v>
      </c>
      <c r="E5" s="40" t="n">
        <v>25.3</v>
      </c>
      <c r="F5" s="40" t="n">
        <v>8.199999999999999</v>
      </c>
      <c r="G5" s="40" t="n">
        <v>8.5</v>
      </c>
      <c r="H5" s="12">
        <f>(G5-F5)/F5</f>
        <v/>
      </c>
      <c r="I5" s="9" t="n">
        <v>0.269</v>
      </c>
      <c r="J5" s="8" t="n">
        <v>3.55</v>
      </c>
      <c r="K5" s="8" t="n">
        <v>3.38</v>
      </c>
      <c r="L5" s="9" t="n">
        <v>0.05</v>
      </c>
      <c r="M5" s="41" t="n">
        <v>-6.9</v>
      </c>
      <c r="N5" s="38" t="n">
        <v>3.12</v>
      </c>
      <c r="O5" s="38" t="n">
        <v>4.7</v>
      </c>
      <c r="P5" s="6" t="inlineStr">
        <is>
          <t>BBB</t>
        </is>
      </c>
      <c r="Q5" s="40" t="n">
        <v>1.5</v>
      </c>
      <c r="R5" s="12">
        <f>Q5/D5</f>
        <v/>
      </c>
      <c r="S5" s="9" t="n">
        <v>0.027</v>
      </c>
      <c r="T5" s="9" t="n">
        <v>0.01</v>
      </c>
    </row>
    <row r="6" ht="18" customHeight="1">
      <c r="A6" s="14" t="inlineStr">
        <is>
          <t>MDT</t>
        </is>
      </c>
      <c r="B6" s="15" t="inlineStr">
        <is>
          <t>Medtronic plc</t>
        </is>
      </c>
      <c r="C6" s="15" t="inlineStr">
        <is>
          <t>Healthcare</t>
        </is>
      </c>
      <c r="D6" s="42" t="n">
        <v>113.4</v>
      </c>
      <c r="E6" s="42" t="n">
        <v>133</v>
      </c>
      <c r="F6" s="42" t="n">
        <v>33.5</v>
      </c>
      <c r="G6" s="42" t="n">
        <v>34.5</v>
      </c>
      <c r="H6" s="19">
        <f>(G6-F6)/F6</f>
        <v/>
      </c>
      <c r="I6" s="17" t="n">
        <v>0.275</v>
      </c>
      <c r="J6" s="16" t="n">
        <v>3.61</v>
      </c>
      <c r="K6" s="16" t="n">
        <v>3.44</v>
      </c>
      <c r="L6" s="17" t="n">
        <v>0.04</v>
      </c>
      <c r="M6" s="43" t="n">
        <v>-19.6</v>
      </c>
      <c r="N6" s="39" t="n">
        <v>2.12</v>
      </c>
      <c r="O6" s="39" t="n">
        <v>8.199999999999999</v>
      </c>
      <c r="P6" s="14" t="inlineStr">
        <is>
          <t>A</t>
        </is>
      </c>
      <c r="Q6" s="42" t="n">
        <v>5.2</v>
      </c>
      <c r="R6" s="19">
        <f>Q6/D6</f>
        <v/>
      </c>
      <c r="S6" s="17" t="n">
        <v>0.053</v>
      </c>
      <c r="T6" s="17" t="n">
        <v>0.032</v>
      </c>
    </row>
    <row r="7" ht="18" customHeight="1">
      <c r="A7" s="6" t="inlineStr">
        <is>
          <t>BSX</t>
        </is>
      </c>
      <c r="B7" s="7" t="inlineStr">
        <is>
          <t>Boston Scientific Corp.</t>
        </is>
      </c>
      <c r="C7" s="7" t="inlineStr">
        <is>
          <t>Healthcare</t>
        </is>
      </c>
      <c r="D7" s="40" t="n">
        <v>105.7</v>
      </c>
      <c r="E7" s="40" t="n">
        <v>116.1</v>
      </c>
      <c r="F7" s="40" t="n">
        <v>20.1</v>
      </c>
      <c r="G7" s="40" t="n">
        <v>22.5</v>
      </c>
      <c r="H7" s="12">
        <f>(G7-F7)/F7</f>
        <v/>
      </c>
      <c r="I7" s="9" t="n">
        <v>0.184</v>
      </c>
      <c r="J7" s="8" t="n">
        <v>1.94</v>
      </c>
      <c r="K7" s="8" t="n">
        <v>1.85</v>
      </c>
      <c r="L7" s="9" t="n">
        <v>0.15</v>
      </c>
      <c r="M7" s="41" t="n">
        <v>-10.4</v>
      </c>
      <c r="N7" s="38" t="n">
        <v>2.78</v>
      </c>
      <c r="O7" s="38" t="n">
        <v>11.4</v>
      </c>
      <c r="P7" s="6" t="inlineStr">
        <is>
          <t>BBB</t>
        </is>
      </c>
      <c r="Q7" s="40" t="n">
        <v>3.7</v>
      </c>
      <c r="R7" s="12">
        <f>Q7/D7</f>
        <v/>
      </c>
      <c r="S7" s="9" t="n">
        <v>0.04</v>
      </c>
      <c r="T7" s="9" t="n">
        <v>0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1" customWidth="1" min="4" max="4"/>
    <col width="12" customWidth="1" min="5" max="5"/>
    <col width="12" customWidth="1" min="6" max="6"/>
    <col width="14" customWidth="1" min="7" max="7"/>
    <col width="35" customWidth="1" min="8" max="8"/>
  </cols>
  <sheetData>
    <row r="1" ht="36" customHeight="1">
      <c r="A1" s="27" t="inlineStr">
        <is>
          <t>CATALYST TRACKER — UPCOMING EVENTS &amp; PRICE IMPACT ESTIMATES</t>
        </is>
      </c>
    </row>
    <row r="2" ht="30" customHeight="1">
      <c r="A2" s="4" t="inlineStr">
        <is>
          <t>Ticker</t>
        </is>
      </c>
      <c r="B2" s="4" t="inlineStr">
        <is>
          <t>Catalyst Description</t>
        </is>
      </c>
      <c r="C2" s="4" t="inlineStr">
        <is>
          <t>Timeline</t>
        </is>
      </c>
      <c r="D2" s="4" t="inlineStr">
        <is>
          <t>Probability</t>
        </is>
      </c>
      <c r="E2" s="4" t="inlineStr">
        <is>
          <t>Impact if Hit (%)</t>
        </is>
      </c>
      <c r="F2" s="4" t="inlineStr">
        <is>
          <t>Impact if Miss (%)</t>
        </is>
      </c>
      <c r="G2" s="4" t="inlineStr">
        <is>
          <t>Expected Impact (%)</t>
        </is>
      </c>
      <c r="H2" s="4" t="inlineStr">
        <is>
          <t>Monitor Signal</t>
        </is>
      </c>
    </row>
    <row r="3" ht="20" customHeight="1">
      <c r="A3" s="6" t="inlineStr">
        <is>
          <t>NVO</t>
        </is>
      </c>
      <c r="B3" s="7" t="inlineStr">
        <is>
          <t>CagriSema FDA approval decision (NDA filed Dec 2025)</t>
        </is>
      </c>
      <c r="C3" s="6" t="inlineStr">
        <is>
          <t>Q4 2026</t>
        </is>
      </c>
      <c r="D3" s="44" t="n">
        <v>0.65</v>
      </c>
      <c r="E3" s="9" t="n">
        <v>0.25</v>
      </c>
      <c r="F3" s="9" t="n">
        <v>-0.15</v>
      </c>
      <c r="G3" s="12">
        <f>D3*E3+(1-D3)*F3</f>
        <v/>
      </c>
      <c r="H3" s="7" t="inlineStr">
        <is>
          <t>FDA advisory committee date; PDUFA date announcement</t>
        </is>
      </c>
    </row>
    <row r="4" ht="20" customHeight="1">
      <c r="A4" s="14" t="inlineStr"/>
      <c r="B4" s="15" t="inlineStr">
        <is>
          <t>Oral Wegovy commercial ramp exceeds expectations (170K patients in 4 weeks)</t>
        </is>
      </c>
      <c r="C4" s="14" t="inlineStr">
        <is>
          <t>Q2-Q3 2026</t>
        </is>
      </c>
      <c r="D4" s="45" t="n">
        <v>0.55</v>
      </c>
      <c r="E4" s="17" t="n">
        <v>0.15</v>
      </c>
      <c r="F4" s="17" t="n">
        <v>-0.05</v>
      </c>
      <c r="G4" s="19">
        <f>D4*E4+(1-D4)*F4</f>
        <v/>
      </c>
      <c r="H4" s="15" t="inlineStr">
        <is>
          <t>Weekly prescription data; quarterly revenue disclosures</t>
        </is>
      </c>
    </row>
    <row r="5" ht="20" customHeight="1">
      <c r="A5" s="6" t="inlineStr"/>
      <c r="B5" s="7" t="inlineStr">
        <is>
          <t>Medicare obesity drug coverage begins (40M+ new beneficiaries)</t>
        </is>
      </c>
      <c r="C5" s="6" t="inlineStr">
        <is>
          <t>Jul 2026</t>
        </is>
      </c>
      <c r="D5" s="44" t="n">
        <v>0.85</v>
      </c>
      <c r="E5" s="9" t="n">
        <v>0.2</v>
      </c>
      <c r="F5" s="9" t="n">
        <v>-0.1</v>
      </c>
      <c r="G5" s="12">
        <f>D5*E5+(1-D5)*F5</f>
        <v/>
      </c>
      <c r="H5" s="7" t="inlineStr">
        <is>
          <t>CMS implementation; formulary inclusion; patient enrollment data</t>
        </is>
      </c>
    </row>
    <row r="6" ht="20" customHeight="1">
      <c r="A6" s="14" t="inlineStr"/>
      <c r="B6" s="15" t="inlineStr">
        <is>
          <t>Amycretin (Zenagamtide) Phase 3 AMAZE interim data</t>
        </is>
      </c>
      <c r="C6" s="14" t="inlineStr">
        <is>
          <t>H2 2026 - H1 2027</t>
        </is>
      </c>
      <c r="D6" s="45" t="n">
        <v>0.5</v>
      </c>
      <c r="E6" s="17" t="n">
        <v>0.3</v>
      </c>
      <c r="F6" s="17" t="n">
        <v>-0.1</v>
      </c>
      <c r="G6" s="19">
        <f>D6*E6+(1-D6)*F6</f>
        <v/>
      </c>
      <c r="H6" s="15" t="inlineStr">
        <is>
          <t>Trial enrollment; interim efficacy signals; conference presentations</t>
        </is>
      </c>
    </row>
    <row r="7" ht="20" customHeight="1">
      <c r="A7" s="6" t="inlineStr"/>
      <c r="B7" s="7" t="inlineStr">
        <is>
          <t>CagriSema higher-dose (2.4/7.2mg) Phase 3 initiation</t>
        </is>
      </c>
      <c r="C7" s="6" t="inlineStr">
        <is>
          <t>H2 2026</t>
        </is>
      </c>
      <c r="D7" s="44" t="n">
        <v>0.7</v>
      </c>
      <c r="E7" s="9" t="n">
        <v>0.1</v>
      </c>
      <c r="F7" s="9" t="n">
        <v>-0.03</v>
      </c>
      <c r="G7" s="12">
        <f>D7*E7+(1-D7)*F7</f>
        <v/>
      </c>
      <c r="H7" s="7" t="inlineStr">
        <is>
          <t>Trial registration on clinicaltrials.gov; company announcements</t>
        </is>
      </c>
    </row>
    <row r="8"/>
    <row r="9" ht="20" customHeight="1">
      <c r="A9" s="6" t="inlineStr">
        <is>
          <t>UNH</t>
        </is>
      </c>
      <c r="B9" s="7" t="inlineStr">
        <is>
          <t>DOJ Medicare Advantage investigation resolution or settlement</t>
        </is>
      </c>
      <c r="C9" s="6" t="inlineStr">
        <is>
          <t>H2 2026 - 2027</t>
        </is>
      </c>
      <c r="D9" s="44" t="n">
        <v>0.55</v>
      </c>
      <c r="E9" s="9" t="n">
        <v>0.3</v>
      </c>
      <c r="F9" s="9" t="n">
        <v>-0.2</v>
      </c>
      <c r="G9" s="12">
        <f>D9*E9+(1-D9)*F9</f>
        <v/>
      </c>
      <c r="H9" s="7" t="inlineStr">
        <is>
          <t>DOJ filings; settlement discussions; congressional hearings</t>
        </is>
      </c>
    </row>
    <row r="10" ht="20" customHeight="1">
      <c r="A10" s="14" t="inlineStr"/>
      <c r="B10" s="15" t="inlineStr">
        <is>
          <t>Medicare Advantage rate normalization (CMS 2027 rates)</t>
        </is>
      </c>
      <c r="C10" s="14" t="inlineStr">
        <is>
          <t>Q1 2027</t>
        </is>
      </c>
      <c r="D10" s="45" t="n">
        <v>0.6</v>
      </c>
      <c r="E10" s="17" t="n">
        <v>0.15</v>
      </c>
      <c r="F10" s="17" t="n">
        <v>-0.1</v>
      </c>
      <c r="G10" s="19">
        <f>D10*E10+(1-D10)*F10</f>
        <v/>
      </c>
      <c r="H10" s="15" t="inlineStr">
        <is>
          <t>CMS advance notice; final rate announcement; V28 risk model transition</t>
        </is>
      </c>
    </row>
    <row r="11" ht="20" customHeight="1">
      <c r="A11" s="6" t="inlineStr"/>
      <c r="B11" s="7" t="inlineStr">
        <is>
          <t>New CEO stabilization and strategic reset</t>
        </is>
      </c>
      <c r="C11" s="6" t="inlineStr">
        <is>
          <t>Q2-Q4 2026</t>
        </is>
      </c>
      <c r="D11" s="44" t="n">
        <v>0.65</v>
      </c>
      <c r="E11" s="9" t="n">
        <v>0.15</v>
      </c>
      <c r="F11" s="9" t="n">
        <v>-0.05</v>
      </c>
      <c r="G11" s="12">
        <f>D11*E11+(1-D11)*F11</f>
        <v/>
      </c>
      <c r="H11" s="7" t="inlineStr">
        <is>
          <t>Earnings calls; investor day; strategic initiatives announced</t>
        </is>
      </c>
    </row>
    <row r="12" ht="20" customHeight="1">
      <c r="A12" s="14" t="inlineStr"/>
      <c r="B12" s="15" t="inlineStr">
        <is>
          <t>Optum Health and Optum Rx growth reacceleration</t>
        </is>
      </c>
      <c r="C12" s="14" t="inlineStr">
        <is>
          <t>H2 2026</t>
        </is>
      </c>
      <c r="D12" s="45" t="n">
        <v>0.55</v>
      </c>
      <c r="E12" s="17" t="n">
        <v>0.2</v>
      </c>
      <c r="F12" s="17" t="n">
        <v>-0.05</v>
      </c>
      <c r="G12" s="19">
        <f>D12*E12+(1-D12)*F12</f>
        <v/>
      </c>
      <c r="H12" s="15" t="inlineStr">
        <is>
          <t>Quarterly segment revenue growth; pharmacy benefit renewals</t>
        </is>
      </c>
    </row>
    <row r="13"/>
    <row r="14" ht="20" customHeight="1">
      <c r="A14" s="14" t="inlineStr">
        <is>
          <t>ZBH</t>
        </is>
      </c>
      <c r="B14" s="15" t="inlineStr">
        <is>
          <t>ROSA robotic surgery platform installation acceleration</t>
        </is>
      </c>
      <c r="C14" s="14" t="inlineStr">
        <is>
          <t>H2 2026</t>
        </is>
      </c>
      <c r="D14" s="45" t="n">
        <v>0.55</v>
      </c>
      <c r="E14" s="17" t="n">
        <v>0.15</v>
      </c>
      <c r="F14" s="17" t="n">
        <v>-0.05</v>
      </c>
      <c r="G14" s="19">
        <f>D14*E14+(1-D14)*F14</f>
        <v/>
      </c>
      <c r="H14" s="15" t="inlineStr">
        <is>
          <t>Quarterly ROSA installation count; procedure mix data</t>
        </is>
      </c>
    </row>
    <row r="15" ht="20" customHeight="1">
      <c r="A15" s="6" t="inlineStr"/>
      <c r="B15" s="7" t="inlineStr">
        <is>
          <t>Knee and hip procedure volume recovery post-backlog normalization</t>
        </is>
      </c>
      <c r="C15" s="6" t="inlineStr">
        <is>
          <t>2026-2027</t>
        </is>
      </c>
      <c r="D15" s="44" t="n">
        <v>0.65</v>
      </c>
      <c r="E15" s="9" t="n">
        <v>0.12</v>
      </c>
      <c r="F15" s="9" t="n">
        <v>-0.05</v>
      </c>
      <c r="G15" s="12">
        <f>D15*E15+(1-D15)*F15</f>
        <v/>
      </c>
      <c r="H15" s="7" t="inlineStr">
        <is>
          <t>Quarterly procedure volume data; hospital utilization rates</t>
        </is>
      </c>
    </row>
    <row r="16" ht="20" customHeight="1">
      <c r="A16" s="14" t="inlineStr"/>
      <c r="B16" s="15" t="inlineStr">
        <is>
          <t>Margin expansion from operational efficiency program</t>
        </is>
      </c>
      <c r="C16" s="14" t="inlineStr">
        <is>
          <t>Q3-Q4 2026</t>
        </is>
      </c>
      <c r="D16" s="45" t="n">
        <v>0.5</v>
      </c>
      <c r="E16" s="17" t="n">
        <v>0.1</v>
      </c>
      <c r="F16" s="17" t="n">
        <v>-0.03</v>
      </c>
      <c r="G16" s="19">
        <f>D16*E16+(1-D16)*F16</f>
        <v/>
      </c>
      <c r="H16" s="15" t="inlineStr">
        <is>
          <t>Gross margin trend; SG&amp;A as % of revenue; management commentary</t>
        </is>
      </c>
    </row>
    <row r="17"/>
    <row r="18" ht="20" customHeight="1">
      <c r="A18" s="14" t="inlineStr">
        <is>
          <t>MDT</t>
        </is>
      </c>
      <c r="B18" s="15" t="inlineStr">
        <is>
          <t>Hugo robotic surgery platform commercial launch and adoption</t>
        </is>
      </c>
      <c r="C18" s="14" t="inlineStr">
        <is>
          <t>H2 2026 - 2027</t>
        </is>
      </c>
      <c r="D18" s="45" t="n">
        <v>0.5</v>
      </c>
      <c r="E18" s="17" t="n">
        <v>0.15</v>
      </c>
      <c r="F18" s="17" t="n">
        <v>-0.05</v>
      </c>
      <c r="G18" s="19">
        <f>D18*E18+(1-D18)*F18</f>
        <v/>
      </c>
      <c r="H18" s="15" t="inlineStr">
        <is>
          <t>Hugo regulatory clearances; initial placements; surgeon feedback</t>
        </is>
      </c>
    </row>
    <row r="19" ht="20" customHeight="1">
      <c r="A19" s="6" t="inlineStr"/>
      <c r="B19" s="7" t="inlineStr">
        <is>
          <t>Diabetes franchise stabilization (CGM competitive dynamics)</t>
        </is>
      </c>
      <c r="C19" s="6" t="inlineStr">
        <is>
          <t>2026</t>
        </is>
      </c>
      <c r="D19" s="44" t="n">
        <v>0.45</v>
      </c>
      <c r="E19" s="9" t="n">
        <v>0.1</v>
      </c>
      <c r="F19" s="9" t="n">
        <v>-0.05</v>
      </c>
      <c r="G19" s="12">
        <f>D19*E19+(1-D19)*F19</f>
        <v/>
      </c>
      <c r="H19" s="7" t="inlineStr">
        <is>
          <t>Diabetes segment revenue growth; market share vs DXCM/ABT</t>
        </is>
      </c>
    </row>
    <row r="20" ht="20" customHeight="1">
      <c r="A20" s="14" t="inlineStr"/>
      <c r="B20" s="15" t="inlineStr">
        <is>
          <t>Cardiac rhythm and neuromodulation volume growth</t>
        </is>
      </c>
      <c r="C20" s="14" t="inlineStr">
        <is>
          <t>2026-2027</t>
        </is>
      </c>
      <c r="D20" s="45" t="n">
        <v>0.6</v>
      </c>
      <c r="E20" s="17" t="n">
        <v>0.08</v>
      </c>
      <c r="F20" s="17" t="n">
        <v>-0.03</v>
      </c>
      <c r="G20" s="19">
        <f>D20*E20+(1-D20)*F20</f>
        <v/>
      </c>
      <c r="H20" s="15" t="inlineStr">
        <is>
          <t>CRM and neuromod segment growth rates; product launches</t>
        </is>
      </c>
    </row>
    <row r="21"/>
    <row r="22" ht="20" customHeight="1">
      <c r="A22" s="14" t="inlineStr">
        <is>
          <t>BSX</t>
        </is>
      </c>
      <c r="B22" s="15" t="inlineStr">
        <is>
          <t>FARAPULSE pulsed field ablation global adoption acceleration</t>
        </is>
      </c>
      <c r="C22" s="14" t="inlineStr">
        <is>
          <t>Ongoing through 2026-2027</t>
        </is>
      </c>
      <c r="D22" s="45" t="n">
        <v>0.75</v>
      </c>
      <c r="E22" s="17" t="n">
        <v>0.2</v>
      </c>
      <c r="F22" s="17" t="n">
        <v>-0.08</v>
      </c>
      <c r="G22" s="19">
        <f>D22*E22+(1-D22)*F22</f>
        <v/>
      </c>
      <c r="H22" s="15" t="inlineStr">
        <is>
          <t>EP procedure volumes; FARAPULSE market share; quarterly EP revenue growth</t>
        </is>
      </c>
    </row>
    <row r="23" ht="20" customHeight="1">
      <c r="A23" s="6" t="inlineStr"/>
      <c r="B23" s="7" t="inlineStr">
        <is>
          <t>ACURATE neo2 TAVR gaining share in structural heart</t>
        </is>
      </c>
      <c r="C23" s="6" t="inlineStr">
        <is>
          <t>H2 2026</t>
        </is>
      </c>
      <c r="D23" s="44" t="n">
        <v>0.55</v>
      </c>
      <c r="E23" s="9" t="n">
        <v>0.12</v>
      </c>
      <c r="F23" s="9" t="n">
        <v>-0.05</v>
      </c>
      <c r="G23" s="12">
        <f>D23*E23+(1-D23)*F23</f>
        <v/>
      </c>
      <c r="H23" s="7" t="inlineStr">
        <is>
          <t>TAVR market share data; clinical outcomes publications; ACC/TCT presentations</t>
        </is>
      </c>
    </row>
    <row r="24" ht="20" customHeight="1">
      <c r="A24" s="14" t="inlineStr"/>
      <c r="B24" s="15" t="inlineStr">
        <is>
          <t>Tariff resolution / exemption for medical devices</t>
        </is>
      </c>
      <c r="C24" s="14" t="inlineStr">
        <is>
          <t>Q2-Q3 2026</t>
        </is>
      </c>
      <c r="D24" s="45" t="n">
        <v>0.5</v>
      </c>
      <c r="E24" s="17" t="n">
        <v>0.15</v>
      </c>
      <c r="F24" s="17" t="n">
        <v>-0.1</v>
      </c>
      <c r="G24" s="19">
        <f>D24*E24+(1-D24)*F24</f>
        <v/>
      </c>
      <c r="H24" s="15" t="inlineStr">
        <is>
          <t>Trade policy announcements; medical device tariff exemption lobbying results</t>
        </is>
      </c>
    </row>
    <row r="25" ht="20" customHeight="1">
      <c r="A25" s="6" t="inlineStr"/>
      <c r="B25" s="7" t="inlineStr">
        <is>
          <t>Continued 12%+ organic revenue growth above med-tech peers</t>
        </is>
      </c>
      <c r="C25" s="6" t="inlineStr">
        <is>
          <t>Quarterly earnings</t>
        </is>
      </c>
      <c r="D25" s="44" t="n">
        <v>0.65</v>
      </c>
      <c r="E25" s="9" t="n">
        <v>0.1</v>
      </c>
      <c r="F25" s="9" t="n">
        <v>-0.08</v>
      </c>
      <c r="G25" s="12">
        <f>D25*E25+(1-D25)*F25</f>
        <v/>
      </c>
      <c r="H25" s="7" t="inlineStr">
        <is>
          <t>Quarterly organic growth rates; management guidance updates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8" customWidth="1" min="5" max="5"/>
    <col width="30" customWidth="1" min="6" max="6"/>
    <col width="10" customWidth="1" min="7" max="7"/>
    <col width="10" customWidth="1" min="8" max="8"/>
    <col width="8" customWidth="1" min="9" max="9"/>
    <col width="30" customWidth="1" min="10" max="10"/>
    <col width="10" customWidth="1" min="11" max="11"/>
    <col width="10" customWidth="1" min="12" max="12"/>
    <col width="8" customWidth="1" min="13" max="13"/>
    <col width="10" customWidth="1" min="14" max="14"/>
  </cols>
  <sheetData>
    <row r="1" ht="36" customHeight="1">
      <c r="A1" s="27" t="inlineStr">
        <is>
          <t>RISK MATRIX — BULL / BASE / BEAR SCENARIOS &amp; EXPECTED VALUE</t>
        </is>
      </c>
    </row>
    <row r="2" ht="40" customHeight="1">
      <c r="A2" s="4" t="inlineStr">
        <is>
          <t>Ticker</t>
        </is>
      </c>
      <c r="B2" s="4" t="inlineStr">
        <is>
          <t>Bull Case Desc.</t>
        </is>
      </c>
      <c r="C2" s="4" t="inlineStr">
        <is>
          <t>Bull Target</t>
        </is>
      </c>
      <c r="D2" s="4" t="inlineStr">
        <is>
          <t>Bull Return (%)</t>
        </is>
      </c>
      <c r="E2" s="4" t="inlineStr">
        <is>
          <t>P(Bull)</t>
        </is>
      </c>
      <c r="F2" s="4" t="inlineStr">
        <is>
          <t>Base Case Desc.</t>
        </is>
      </c>
      <c r="G2" s="4" t="inlineStr">
        <is>
          <t>Base Target</t>
        </is>
      </c>
      <c r="H2" s="4" t="inlineStr">
        <is>
          <t>Base Return (%)</t>
        </is>
      </c>
      <c r="I2" s="4" t="inlineStr">
        <is>
          <t>P(Base)</t>
        </is>
      </c>
      <c r="J2" s="4" t="inlineStr">
        <is>
          <t>Bear Case Desc.</t>
        </is>
      </c>
      <c r="K2" s="4" t="inlineStr">
        <is>
          <t>Bear Target</t>
        </is>
      </c>
      <c r="L2" s="4" t="inlineStr">
        <is>
          <t>Bear Return (%)</t>
        </is>
      </c>
      <c r="M2" s="4" t="inlineStr">
        <is>
          <t>P(Bear)</t>
        </is>
      </c>
      <c r="N2" s="4" t="inlineStr">
        <is>
          <t>Expected
Value (%)</t>
        </is>
      </c>
    </row>
    <row r="3">
      <c r="M3" s="46" t="inlineStr">
        <is>
          <t>Expected Value (%)</t>
        </is>
      </c>
    </row>
    <row r="4" ht="22" customHeight="1">
      <c r="A4" s="6" t="inlineStr">
        <is>
          <t>NVO</t>
        </is>
      </c>
      <c r="B4" s="6" t="inlineStr">
        <is>
          <t>CagriSema approved; oral Wegovy exceeds; amycretin positive; re-rate to 18x fwd P/E</t>
        </is>
      </c>
      <c r="C4" s="8" t="n">
        <v>70</v>
      </c>
      <c r="D4" s="9" t="n">
        <v>0.8169999999999999</v>
      </c>
      <c r="E4" s="44" t="n">
        <v>0.25</v>
      </c>
      <c r="F4" s="6" t="inlineStr">
        <is>
          <t>CagriSema approved with modest uptake; EPS troughs at ~$3.15; re-rate to 15x fwd</t>
        </is>
      </c>
      <c r="G4" s="8" t="n">
        <v>50</v>
      </c>
      <c r="H4" s="9" t="n">
        <v>0.298</v>
      </c>
      <c r="I4" s="44" t="n">
        <v>0.5</v>
      </c>
      <c r="J4" s="6" t="inlineStr">
        <is>
          <t>CagriSema delayed; LLY dominates oral; IRA crushes margins; EPS declines further</t>
        </is>
      </c>
      <c r="K4" s="8" t="n">
        <v>30</v>
      </c>
      <c r="L4" s="9" t="n">
        <v>-0.221</v>
      </c>
      <c r="M4" s="44" t="n">
        <v>0.25</v>
      </c>
      <c r="N4" s="12">
        <f>E4*D4+I4*H4+M4*L4</f>
        <v/>
      </c>
    </row>
    <row r="5" ht="22" customHeight="1">
      <c r="A5" s="14" t="inlineStr">
        <is>
          <t>UNH</t>
        </is>
      </c>
      <c r="B5" s="14" t="inlineStr">
        <is>
          <t>DOJ settles favorably; MA rates improve; Optum reaccelerates; re-rate to 25x fwd P/E</t>
        </is>
      </c>
      <c r="C5" s="16" t="n">
        <v>550</v>
      </c>
      <c r="D5" s="17" t="n">
        <v>0.917</v>
      </c>
      <c r="E5" s="45" t="n">
        <v>0.2</v>
      </c>
      <c r="F5" s="14" t="inlineStr">
        <is>
          <t>DOJ overhang persists but manageable; EPS stabilizes at $13-14; re-rate to 22x fwd</t>
        </is>
      </c>
      <c r="G5" s="16" t="n">
        <v>420</v>
      </c>
      <c r="H5" s="17" t="n">
        <v>0.465</v>
      </c>
      <c r="I5" s="45" t="n">
        <v>0.5</v>
      </c>
      <c r="J5" s="14" t="inlineStr">
        <is>
          <t>DOJ escalates; MA reimbursement cuts; Optum margin compression; leadership uncertainty</t>
        </is>
      </c>
      <c r="K5" s="16" t="n">
        <v>220</v>
      </c>
      <c r="L5" s="17" t="n">
        <v>-0.233</v>
      </c>
      <c r="M5" s="45" t="n">
        <v>0.3</v>
      </c>
      <c r="N5" s="19">
        <f>E5*D5+I5*H5+M5*L5</f>
        <v/>
      </c>
    </row>
    <row r="6" ht="22" customHeight="1">
      <c r="A6" s="6" t="inlineStr">
        <is>
          <t>ZBH</t>
        </is>
      </c>
      <c r="B6" s="6" t="inlineStr">
        <is>
          <t>ROSA drives share gains; procedure volumes rebound; margin expansion to 30%+; re-rate to peer multiples</t>
        </is>
      </c>
      <c r="C6" s="8" t="n">
        <v>145</v>
      </c>
      <c r="D6" s="9" t="n">
        <v>0.5659999999999999</v>
      </c>
      <c r="E6" s="44" t="n">
        <v>0.2</v>
      </c>
      <c r="F6" s="6" t="inlineStr">
        <is>
          <t>Steady volume recovery; ROSA gradual adoption; EPS grows to $4.00-4.50; re-rate to 28x</t>
        </is>
      </c>
      <c r="G6" s="8" t="n">
        <v>120</v>
      </c>
      <c r="H6" s="9" t="n">
        <v>0.296</v>
      </c>
      <c r="I6" s="44" t="n">
        <v>0.55</v>
      </c>
      <c r="J6" s="6" t="inlineStr">
        <is>
          <t>SYK continues taking share; execution stumbles; leverage constrains investment; procedure softness</t>
        </is>
      </c>
      <c r="K6" s="8" t="n">
        <v>75</v>
      </c>
      <c r="L6" s="9" t="n">
        <v>-0.19</v>
      </c>
      <c r="M6" s="44" t="n">
        <v>0.25</v>
      </c>
      <c r="N6" s="12">
        <f>E6*D6+I6*H6+M6*L6</f>
        <v/>
      </c>
    </row>
    <row r="7" ht="22" customHeight="1">
      <c r="A7" s="14" t="inlineStr">
        <is>
          <t>MDT</t>
        </is>
      </c>
      <c r="B7" s="14" t="inlineStr">
        <is>
          <t>Hugo succeeds; organic growth accelerates to 5%+; GLP-1 impact limited; re-rate to 22x fwd</t>
        </is>
      </c>
      <c r="C7" s="16" t="n">
        <v>130</v>
      </c>
      <c r="D7" s="17" t="n">
        <v>0.472</v>
      </c>
      <c r="E7" s="45" t="n">
        <v>0.2</v>
      </c>
      <c r="F7" s="14" t="inlineStr">
        <is>
          <t>Steady 3-4% organic growth; Hugo gradual rollout; dividend maintained; re-rate to 20x fwd</t>
        </is>
      </c>
      <c r="G7" s="16" t="n">
        <v>108</v>
      </c>
      <c r="H7" s="17" t="n">
        <v>0.223</v>
      </c>
      <c r="I7" s="45" t="n">
        <v>0.55</v>
      </c>
      <c r="J7" s="14" t="inlineStr">
        <is>
          <t>Innovation gap widens; GLP-1s reduce procedure volumes; Hugo delays; growth stalls</t>
        </is>
      </c>
      <c r="K7" s="16" t="n">
        <v>75</v>
      </c>
      <c r="L7" s="17" t="n">
        <v>-0.151</v>
      </c>
      <c r="M7" s="45" t="n">
        <v>0.25</v>
      </c>
      <c r="N7" s="19">
        <f>E7*D7+I7*H7+M7*L7</f>
        <v/>
      </c>
    </row>
    <row r="8" ht="22" customHeight="1">
      <c r="A8" s="6" t="inlineStr">
        <is>
          <t>BSX</t>
        </is>
      </c>
      <c r="B8" s="6" t="inlineStr">
        <is>
          <t>FARAPULSE dominates EP; TAVR share gains; 14%+ organic growth sustained; re-rate to 35x fwd EPS</t>
        </is>
      </c>
      <c r="C8" s="8" t="n">
        <v>120</v>
      </c>
      <c r="D8" s="9" t="n">
        <v>0.6850000000000001</v>
      </c>
      <c r="E8" s="44" t="n">
        <v>0.25</v>
      </c>
      <c r="F8" s="6" t="inlineStr">
        <is>
          <t>10-12% organic growth; FARAPULSE strong but competitive; tariffs manageable; re-rate to 30x fwd</t>
        </is>
      </c>
      <c r="G8" s="8" t="n">
        <v>95</v>
      </c>
      <c r="H8" s="9" t="n">
        <v>0.334</v>
      </c>
      <c r="I8" s="44" t="n">
        <v>0.5</v>
      </c>
      <c r="J8" s="6" t="inlineStr">
        <is>
          <t>Tariffs hit margins; competitive pressure in EP; growth decelerates to 6-8%; remains at 25x fwd</t>
        </is>
      </c>
      <c r="K8" s="8" t="n">
        <v>60</v>
      </c>
      <c r="L8" s="9" t="n">
        <v>-0.157</v>
      </c>
      <c r="M8" s="44" t="n">
        <v>0.25</v>
      </c>
      <c r="N8" s="12">
        <f>E8*D8+I8*H8+M8*L8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 ht="45" customHeight="1">
      <c r="A1" s="27" t="inlineStr">
        <is>
          <t>NVO (NOVO NORDISK) — INSTITUTIONAL DEEP DIVE: IS THE BAD NEWS PRICED IN?</t>
        </is>
      </c>
    </row>
    <row r="2"/>
    <row r="3" ht="24" customHeight="1">
      <c r="A3" s="47" t="inlineStr">
        <is>
          <t>SELLOFF TIMELINE — KEY EVENTS</t>
        </is>
      </c>
    </row>
    <row r="4" ht="30" customHeight="1">
      <c r="A4" s="24" t="inlineStr">
        <is>
          <t>Date</t>
        </is>
      </c>
      <c r="B4" s="24" t="inlineStr">
        <is>
          <t>Event</t>
        </is>
      </c>
      <c r="C4" s="24" t="inlineStr">
        <is>
          <t>Stock Price</t>
        </is>
      </c>
      <c r="D4" s="24" t="inlineStr">
        <is>
          <t>% Change</t>
        </is>
      </c>
      <c r="E4" s="24" t="inlineStr">
        <is>
          <t>Interpretation</t>
        </is>
      </c>
    </row>
    <row r="5" ht="20" customHeight="1">
      <c r="A5" s="6" t="inlineStr">
        <is>
          <t>Jun 25, 2024</t>
        </is>
      </c>
      <c r="B5" s="6" t="inlineStr">
        <is>
          <t>All-time high</t>
        </is>
      </c>
      <c r="C5" s="8" t="n">
        <v>142.44</v>
      </c>
      <c r="D5" s="9" t="n"/>
      <c r="E5" s="6" t="inlineStr">
        <is>
          <t>Peak GLP-1 euphoria; NVO valued as hyper-growth pharma</t>
        </is>
      </c>
    </row>
    <row r="6" ht="20" customHeight="1">
      <c r="A6" s="14" t="inlineStr">
        <is>
          <t>Dec 20, 2024</t>
        </is>
      </c>
      <c r="B6" s="14" t="inlineStr">
        <is>
          <t>CagriSema REDEFINE 1 trial miss (22.7% vs 25% expected)</t>
        </is>
      </c>
      <c r="C6" s="16" t="n">
        <v>102</v>
      </c>
      <c r="D6" s="17" t="n">
        <v>-0.19</v>
      </c>
      <c r="E6" s="14" t="inlineStr">
        <is>
          <t>Market feared next-gen drug can't compete with LLY's Zepbound</t>
        </is>
      </c>
    </row>
    <row r="7" ht="20" customHeight="1">
      <c r="A7" s="6" t="inlineStr">
        <is>
          <t>Jul 29, 2025</t>
        </is>
      </c>
      <c r="B7" s="6" t="inlineStr">
        <is>
          <t>2025 guidance cut #3; worst single-day drop</t>
        </is>
      </c>
      <c r="C7" s="8" t="n">
        <v>57</v>
      </c>
      <c r="D7" s="9" t="n">
        <v>-0.2</v>
      </c>
      <c r="E7" s="6" t="inlineStr">
        <is>
          <t>Compounded GLP-1 competition; slower Wegovy uptake than expected</t>
        </is>
      </c>
    </row>
    <row r="8" ht="20" customHeight="1">
      <c r="A8" s="14" t="inlineStr">
        <is>
          <t>Nov 24, 2025</t>
        </is>
      </c>
      <c r="B8" s="14" t="inlineStr">
        <is>
          <t>Alzheimer's EVOKE trial failure; MFN pricing deal ($350/mo)</t>
        </is>
      </c>
      <c r="C8" s="16" t="n">
        <v>45</v>
      </c>
      <c r="D8" s="17" t="n">
        <v>-0.05</v>
      </c>
      <c r="E8" s="14" t="inlineStr">
        <is>
          <t>Pipeline setback + pricing pressure double hit; 4-year low</t>
        </is>
      </c>
    </row>
    <row r="9" ht="20" customHeight="1">
      <c r="A9" s="6" t="inlineStr">
        <is>
          <t>Feb 4, 2026</t>
        </is>
      </c>
      <c r="B9" s="6" t="inlineStr">
        <is>
          <t>2026 guidance: -5% to -13% sales decline (first since 2017)</t>
        </is>
      </c>
      <c r="C9" s="8" t="n">
        <v>47.76</v>
      </c>
      <c r="D9" s="9" t="n">
        <v>-0.18</v>
      </c>
      <c r="E9" s="6" t="inlineStr">
        <is>
          <t>Market priced NVO as declining pharma for first time</t>
        </is>
      </c>
    </row>
    <row r="10" ht="20" customHeight="1">
      <c r="A10" s="14" t="inlineStr">
        <is>
          <t>Feb 23, 2026</t>
        </is>
      </c>
      <c r="B10" s="14" t="inlineStr">
        <is>
          <t>CagriSema REDEFINE 4 head-to-head loss vs tirzepatide</t>
        </is>
      </c>
      <c r="C10" s="16" t="n">
        <v>42</v>
      </c>
      <c r="D10" s="17" t="n">
        <v>-0.16</v>
      </c>
      <c r="E10" s="14" t="inlineStr">
        <is>
          <t>Confirmed LLY clinical superiority; NVO lost narrative</t>
        </is>
      </c>
    </row>
    <row r="11" ht="20" customHeight="1">
      <c r="A11" s="6" t="inlineStr">
        <is>
          <t>Mar 3, 2026</t>
        </is>
      </c>
      <c r="B11" s="6" t="inlineStr">
        <is>
          <t>Wave of analyst downgrades; 52-week low</t>
        </is>
      </c>
      <c r="C11" s="8" t="n">
        <v>35.91</v>
      </c>
      <c r="D11" s="9" t="n"/>
      <c r="E11" s="6" t="inlineStr">
        <is>
          <t>Capitulation selling; max pessimism</t>
        </is>
      </c>
    </row>
    <row r="12" ht="20" customHeight="1">
      <c r="A12" s="14" t="inlineStr">
        <is>
          <t>Mar 17, 2026</t>
        </is>
      </c>
      <c r="B12" s="14" t="inlineStr">
        <is>
          <t>Current price</t>
        </is>
      </c>
      <c r="C12" s="16" t="n">
        <v>38.52</v>
      </c>
      <c r="D12" s="17" t="n"/>
      <c r="E12" s="14" t="inlineStr">
        <is>
          <t>Slight bounce from low; still -73% from ATH</t>
        </is>
      </c>
    </row>
    <row r="13"/>
    <row r="14" ht="24" customHeight="1">
      <c r="A14" s="47" t="inlineStr">
        <is>
          <t>PIPELINE STATUS TABLE</t>
        </is>
      </c>
    </row>
    <row r="15" ht="30" customHeight="1">
      <c r="A15" s="24" t="inlineStr">
        <is>
          <t>Asset</t>
        </is>
      </c>
      <c r="B15" s="24" t="inlineStr">
        <is>
          <t>Indication</t>
        </is>
      </c>
      <c r="C15" s="24" t="inlineStr">
        <is>
          <t>Phase</t>
        </is>
      </c>
      <c r="D15" s="24" t="inlineStr">
        <is>
          <t>Status</t>
        </is>
      </c>
      <c r="E15" s="24" t="inlineStr">
        <is>
          <t>Timeline</t>
        </is>
      </c>
      <c r="F15" s="24" t="inlineStr">
        <is>
          <t>Market Size ($B)</t>
        </is>
      </c>
      <c r="G15" s="24" t="inlineStr">
        <is>
          <t>Probability</t>
        </is>
      </c>
      <c r="H15" s="24" t="inlineStr">
        <is>
          <t>Bear Rev ($M)</t>
        </is>
      </c>
      <c r="I15" s="24" t="inlineStr">
        <is>
          <t>Base Rev ($M)</t>
        </is>
      </c>
      <c r="J15" s="24" t="inlineStr">
        <is>
          <t>Bull Rev ($M)</t>
        </is>
      </c>
    </row>
    <row r="16" ht="20" customHeight="1">
      <c r="A16" s="6" t="inlineStr">
        <is>
          <t>CagriSema (2.4/2.4mg)</t>
        </is>
      </c>
      <c r="B16" s="6" t="inlineStr">
        <is>
          <t>Obesity</t>
        </is>
      </c>
      <c r="C16" s="6" t="inlineStr">
        <is>
          <t>NDA Filed</t>
        </is>
      </c>
      <c r="D16" s="6" t="inlineStr">
        <is>
          <t>Under FDA review</t>
        </is>
      </c>
      <c r="E16" s="6" t="inlineStr">
        <is>
          <t>Decision late 2026</t>
        </is>
      </c>
      <c r="F16" s="40" t="n">
        <v>40</v>
      </c>
      <c r="G16" s="44" t="n">
        <v>0.65</v>
      </c>
      <c r="H16" s="48" t="n">
        <v>0</v>
      </c>
      <c r="I16" s="48" t="n">
        <v>2000</v>
      </c>
      <c r="J16" s="48" t="n">
        <v>5000</v>
      </c>
    </row>
    <row r="17" ht="20" customHeight="1">
      <c r="A17" s="14" t="inlineStr">
        <is>
          <t>CagriSema HD (2.4/7.2mg)</t>
        </is>
      </c>
      <c r="B17" s="14" t="inlineStr">
        <is>
          <t>Obesity</t>
        </is>
      </c>
      <c r="C17" s="14" t="inlineStr">
        <is>
          <t>Phase 3 planned</t>
        </is>
      </c>
      <c r="D17" s="14" t="inlineStr">
        <is>
          <t>Initiation H2 2026</t>
        </is>
      </c>
      <c r="E17" s="14" t="inlineStr">
        <is>
          <t>Data 2028</t>
        </is>
      </c>
      <c r="F17" s="42" t="n">
        <v>40</v>
      </c>
      <c r="G17" s="45" t="n">
        <v>0.45</v>
      </c>
      <c r="H17" s="49" t="n">
        <v>0</v>
      </c>
      <c r="I17" s="49" t="n">
        <v>3000</v>
      </c>
      <c r="J17" s="49" t="n">
        <v>8000</v>
      </c>
    </row>
    <row r="18" ht="20" customHeight="1">
      <c r="A18" s="6" t="inlineStr">
        <is>
          <t>Amycretin/Zenagamtide</t>
        </is>
      </c>
      <c r="B18" s="6" t="inlineStr">
        <is>
          <t>Obesity</t>
        </is>
      </c>
      <c r="C18" s="6" t="inlineStr">
        <is>
          <t>Phase 3</t>
        </is>
      </c>
      <c r="D18" s="6" t="inlineStr">
        <is>
          <t>AMAZE initiated Q1 2026</t>
        </is>
      </c>
      <c r="E18" s="6" t="inlineStr">
        <is>
          <t>Data H2 2027</t>
        </is>
      </c>
      <c r="F18" s="40" t="n">
        <v>40</v>
      </c>
      <c r="G18" s="44" t="n">
        <v>0.5</v>
      </c>
      <c r="H18" s="48" t="n">
        <v>0</v>
      </c>
      <c r="I18" s="48" t="n">
        <v>2500</v>
      </c>
      <c r="J18" s="48" t="n">
        <v>6000</v>
      </c>
    </row>
    <row r="19" ht="20" customHeight="1">
      <c r="A19" s="14" t="inlineStr">
        <is>
          <t>Oral Wegovy</t>
        </is>
      </c>
      <c r="B19" s="14" t="inlineStr">
        <is>
          <t>Obesity</t>
        </is>
      </c>
      <c r="C19" s="14" t="inlineStr">
        <is>
          <t>Marketed</t>
        </is>
      </c>
      <c r="D19" s="14" t="inlineStr">
        <is>
          <t>Launched early 2026; 170K patients in 4 weeks</t>
        </is>
      </c>
      <c r="E19" s="14" t="inlineStr">
        <is>
          <t>Ongoing</t>
        </is>
      </c>
      <c r="F19" s="42" t="n">
        <v>22</v>
      </c>
      <c r="G19" s="45" t="n">
        <v>0.85</v>
      </c>
      <c r="H19" s="49" t="n">
        <v>1500</v>
      </c>
      <c r="I19" s="49" t="n">
        <v>3000</v>
      </c>
      <c r="J19" s="49" t="n">
        <v>5000</v>
      </c>
    </row>
    <row r="20" ht="20" customHeight="1">
      <c r="A20" s="6" t="inlineStr">
        <is>
          <t>Semaglutide CKD (Ozempic)</t>
        </is>
      </c>
      <c r="B20" s="6" t="inlineStr">
        <is>
          <t>CKD in T2D</t>
        </is>
      </c>
      <c r="C20" s="6" t="inlineStr">
        <is>
          <t>Marketed</t>
        </is>
      </c>
      <c r="D20" s="6" t="inlineStr">
        <is>
          <t>FDA approved Jan 2025</t>
        </is>
      </c>
      <c r="E20" s="6" t="inlineStr">
        <is>
          <t>Ongoing</t>
        </is>
      </c>
      <c r="F20" s="40" t="n">
        <v>10</v>
      </c>
      <c r="G20" s="44" t="n">
        <v>0.9</v>
      </c>
      <c r="H20" s="48" t="n">
        <v>500</v>
      </c>
      <c r="I20" s="48" t="n">
        <v>1000</v>
      </c>
      <c r="J20" s="48" t="n">
        <v>2000</v>
      </c>
    </row>
    <row r="21" ht="20" customHeight="1">
      <c r="A21" s="14" t="inlineStr">
        <is>
          <t>Mim8</t>
        </is>
      </c>
      <c r="B21" s="14" t="inlineStr">
        <is>
          <t>Hemophilia A</t>
        </is>
      </c>
      <c r="C21" s="14" t="inlineStr">
        <is>
          <t>BLA Filed</t>
        </is>
      </c>
      <c r="D21" s="14" t="inlineStr">
        <is>
          <t>Under FDA review</t>
        </is>
      </c>
      <c r="E21" s="14" t="inlineStr">
        <is>
          <t>Decision 2026</t>
        </is>
      </c>
      <c r="F21" s="42" t="n">
        <v>6</v>
      </c>
      <c r="G21" s="45" t="n">
        <v>0.7</v>
      </c>
      <c r="H21" s="49" t="n">
        <v>0</v>
      </c>
      <c r="I21" s="49" t="n">
        <v>800</v>
      </c>
      <c r="J21" s="49" t="n">
        <v>1500</v>
      </c>
    </row>
    <row r="22" ht="20" customHeight="1">
      <c r="A22" s="6" t="inlineStr">
        <is>
          <t>Ziltivekimab</t>
        </is>
      </c>
      <c r="B22" s="6" t="inlineStr">
        <is>
          <t>ASCVD</t>
        </is>
      </c>
      <c r="C22" s="6" t="inlineStr">
        <is>
          <t>Phase 3</t>
        </is>
      </c>
      <c r="D22" s="6" t="inlineStr">
        <is>
          <t>ZEUS trial ongoing</t>
        </is>
      </c>
      <c r="E22" s="6" t="inlineStr">
        <is>
          <t>Data 2027</t>
        </is>
      </c>
      <c r="F22" s="40" t="n">
        <v>8</v>
      </c>
      <c r="G22" s="44" t="n">
        <v>0.4</v>
      </c>
      <c r="H22" s="48" t="n">
        <v>0</v>
      </c>
      <c r="I22" s="48" t="n">
        <v>500</v>
      </c>
      <c r="J22" s="48" t="n">
        <v>2000</v>
      </c>
    </row>
    <row r="23"/>
    <row r="24" ht="24" customHeight="1">
      <c r="A24" s="47" t="inlineStr">
        <is>
          <t>IRA PRICING IMPACT MODEL (2027+)</t>
        </is>
      </c>
    </row>
    <row r="25">
      <c r="A25" s="50" t="inlineStr">
        <is>
          <t>Current Ozempic/Wegovy Net Price (US avg)</t>
        </is>
      </c>
      <c r="B25" s="48" t="n">
        <v>650</v>
      </c>
    </row>
    <row r="26">
      <c r="A26" s="50" t="inlineStr">
        <is>
          <t>IRA Max Fair Price — Ozempic</t>
        </is>
      </c>
      <c r="B26" s="48" t="n">
        <v>277</v>
      </c>
    </row>
    <row r="27">
      <c r="A27" s="50" t="inlineStr">
        <is>
          <t>IRA Max Fair Price — Wegovy</t>
        </is>
      </c>
      <c r="B27" s="48" t="n">
        <v>386</v>
      </c>
    </row>
    <row r="28">
      <c r="A28" s="50" t="inlineStr">
        <is>
          <t>Estimated Revenue at Risk (2027)</t>
        </is>
      </c>
      <c r="B28" s="40" t="n">
        <v>5</v>
      </c>
    </row>
    <row r="29">
      <c r="A29" s="50" t="inlineStr">
        <is>
          <t>% of 2025 Revenue at Risk</t>
        </is>
      </c>
      <c r="B29" s="9" t="n">
        <v>0.103</v>
      </c>
    </row>
    <row r="30">
      <c r="A30" s="50" t="inlineStr">
        <is>
          <t>EPS Impact (Bear Case)</t>
        </is>
      </c>
      <c r="B30" s="8" t="n">
        <v>-0.8</v>
      </c>
    </row>
    <row r="31">
      <c r="A31" s="50" t="inlineStr">
        <is>
          <t>EPS Impact (Base Case)</t>
        </is>
      </c>
      <c r="B31" s="8" t="n">
        <v>-0.5</v>
      </c>
    </row>
    <row r="32"/>
    <row r="33" ht="24" customHeight="1">
      <c r="A33" s="47" t="inlineStr">
        <is>
          <t>COMPETITIVE POSITIONING — NVO vs. LLY</t>
        </is>
      </c>
    </row>
    <row r="34">
      <c r="A34" s="50" t="inlineStr">
        <is>
          <t>NVO GLP-1 Market Share</t>
        </is>
      </c>
      <c r="B34" s="9" t="n">
        <v>0.4</v>
      </c>
    </row>
    <row r="35">
      <c r="A35" s="50" t="inlineStr">
        <is>
          <t>LLY GLP-1 Market Share</t>
        </is>
      </c>
      <c r="B35" s="9" t="n">
        <v>0.6</v>
      </c>
    </row>
    <row r="36">
      <c r="A36" s="50" t="inlineStr">
        <is>
          <t>Market Share Trend</t>
        </is>
      </c>
      <c r="B36" s="6" t="inlineStr">
        <is>
          <t>LLY gaining; NVO share fell from 60% to 40% over 18 months</t>
        </is>
      </c>
    </row>
    <row r="37">
      <c r="A37" s="50" t="inlineStr">
        <is>
          <t>Notes</t>
        </is>
      </c>
      <c r="B37" s="6" t="inlineStr">
        <is>
          <t>LLY clinically superior (25.5% vs 23.0% weight loss); LLY oral pill more convenient; Goldman projects LLY 60% oral share by 2030. NVO advantage: first oral obesity pill launched, CKD label, broader pipeline diversity.</t>
        </is>
      </c>
    </row>
    <row r="38"/>
    <row r="39" ht="24" customHeight="1">
      <c r="A39" s="47" t="inlineStr">
        <is>
          <t>M&amp;A CAPACITY ANALYSIS</t>
        </is>
      </c>
    </row>
    <row r="40">
      <c r="A40" s="50" t="inlineStr">
        <is>
          <t>Available Cash ($B)</t>
        </is>
      </c>
      <c r="B40" s="40" t="n">
        <v>3.9</v>
      </c>
    </row>
    <row r="41">
      <c r="A41" s="50" t="inlineStr">
        <is>
          <t>Leverage Headroom ($B)</t>
        </is>
      </c>
      <c r="B41" s="40" t="n">
        <v>15</v>
      </c>
    </row>
    <row r="42">
      <c r="A42" s="50" t="inlineStr">
        <is>
          <t>Total Firepower ($B)</t>
        </is>
      </c>
      <c r="B42" s="40" t="n">
        <v>20</v>
      </c>
    </row>
    <row r="43">
      <c r="A43" s="50" t="inlineStr">
        <is>
          <t>Likely Targets</t>
        </is>
      </c>
      <c r="B43" s="6" t="inlineStr">
        <is>
          <t>Next-gen obesity mechanisms; oral GLP-1 formulations; cardio-metabolic assets; already partnered with Chinese company on UBT251 triple agonist</t>
        </is>
      </c>
    </row>
    <row r="44"/>
    <row r="45" ht="24" customHeight="1">
      <c r="A45" s="47" t="inlineStr">
        <is>
          <t>VERDICT: IS THE BAD NEWS PRICED IN?</t>
        </is>
      </c>
    </row>
    <row r="46">
      <c r="A46" s="30" t="inlineStr">
        <is>
          <t>Conclusion:</t>
        </is>
      </c>
      <c r="B46" s="51" t="inlineStr">
        <is>
          <t>PARTIALLY PRICED IN — Asymmetric risk/reward favors longs at current levels</t>
        </is>
      </c>
    </row>
    <row r="47" ht="90" customHeight="1">
      <c r="A47" s="52" t="inlineStr">
        <is>
          <t>At 12x forward P/E (vs 37.5x 5-yr avg), NVO is priced as a declining mature pharma company — yet it still generates $8.6B FCF, has an AA- balance sheet, and owns the #2 position in the fastest-growing therapeutic category in pharma history. The bad news (CagriSema miss, LLY superiority, IRA pricing, guidance cuts) IS largely priced in. What is NOT priced in: (1) Medicare obesity coverage starting Jul 2026 creating 40M+ new beneficiaries, (2) oral Wegovy's explosive launch trajectory, (3) amycretin as a legitimate next-gen asset, (4) higher-dose CagriSema potentially closing the efficacy gap. The 2:1 to 3:1 risk/reward ratio is attractive for a capital-preservation strategy. Position sizing should reflect the uncertainty — 2-3% position, not 5%.</t>
        </is>
      </c>
    </row>
    <row r="48"/>
    <row r="49"/>
    <row r="50"/>
    <row r="51"/>
  </sheetData>
  <mergeCells count="8">
    <mergeCell ref="A1:J1"/>
    <mergeCell ref="A45:J45"/>
    <mergeCell ref="A14:J14"/>
    <mergeCell ref="A3:J3"/>
    <mergeCell ref="A39:J39"/>
    <mergeCell ref="A24:J24"/>
    <mergeCell ref="A47:J51"/>
    <mergeCell ref="A33:J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30" customWidth="1" min="4" max="4"/>
  </cols>
  <sheetData>
    <row r="1" ht="36" customHeight="1">
      <c r="A1" s="27" t="inlineStr">
        <is>
          <t>MODEL ASSUMPTIONS &amp; DATA SOURCES</t>
        </is>
      </c>
    </row>
    <row r="2"/>
    <row r="3" ht="30" customHeight="1">
      <c r="A3" s="22" t="inlineStr">
        <is>
          <t>MACRO ASSUMPTIONS</t>
        </is>
      </c>
      <c r="B3" s="22" t="inlineStr">
        <is>
          <t>Value</t>
        </is>
      </c>
      <c r="C3" s="22" t="inlineStr">
        <is>
          <t>Notes</t>
        </is>
      </c>
      <c r="D3" s="22" t="inlineStr">
        <is>
          <t>Source</t>
        </is>
      </c>
    </row>
    <row r="4">
      <c r="A4" s="25" t="inlineStr">
        <is>
          <t>US GDP Growth (2026E)</t>
        </is>
      </c>
      <c r="B4" s="53" t="inlineStr">
        <is>
          <t>1.5-2.0%</t>
        </is>
      </c>
      <c r="C4" s="25" t="inlineStr">
        <is>
          <t>Below-trend; bearish credit conditions</t>
        </is>
      </c>
      <c r="D4" s="25" t="inlineStr">
        <is>
          <t>Fed consensus / FOMC projections</t>
        </is>
      </c>
    </row>
    <row r="5">
      <c r="A5" s="26" t="inlineStr">
        <is>
          <t>Fed Funds Rate (year-end 2026)</t>
        </is>
      </c>
      <c r="B5" s="54" t="inlineStr">
        <is>
          <t>4.25-4.50%</t>
        </is>
      </c>
      <c r="C5" s="26" t="inlineStr">
        <is>
          <t>Rates stay elevated; 1-2 cuts expected</t>
        </is>
      </c>
      <c r="D5" s="26" t="inlineStr">
        <is>
          <t>CME FedWatch</t>
        </is>
      </c>
    </row>
    <row r="6">
      <c r="A6" s="25" t="inlineStr">
        <is>
          <t>US CPI (2026E)</t>
        </is>
      </c>
      <c r="B6" s="53" t="inlineStr">
        <is>
          <t>2.8-3.2%</t>
        </is>
      </c>
      <c r="C6" s="25" t="inlineStr">
        <is>
          <t>Sticky services inflation</t>
        </is>
      </c>
      <c r="D6" s="25" t="inlineStr">
        <is>
          <t>BLS / Fed projections</t>
        </is>
      </c>
    </row>
    <row r="7">
      <c r="A7" s="26" t="inlineStr">
        <is>
          <t>US Unemployment (2026E)</t>
        </is>
      </c>
      <c r="B7" s="54" t="inlineStr">
        <is>
          <t>4.2-4.5%</t>
        </is>
      </c>
      <c r="C7" s="26" t="inlineStr">
        <is>
          <t>Gradual weakening</t>
        </is>
      </c>
      <c r="D7" s="26" t="inlineStr">
        <is>
          <t>BLS</t>
        </is>
      </c>
    </row>
    <row r="8">
      <c r="A8" s="25" t="inlineStr">
        <is>
          <t>Credit Spreads</t>
        </is>
      </c>
      <c r="B8" s="53" t="inlineStr">
        <is>
          <t>Widening</t>
        </is>
      </c>
      <c r="C8" s="25" t="inlineStr">
        <is>
          <t>IG +20-40bps; HY +100-200bps expected</t>
        </is>
      </c>
      <c r="D8" s="25" t="inlineStr">
        <is>
          <t>ICE BofA indices</t>
        </is>
      </c>
    </row>
    <row r="9">
      <c r="A9" s="26" t="inlineStr">
        <is>
          <t>Macro Regime</t>
        </is>
      </c>
      <c r="B9" s="54" t="inlineStr">
        <is>
          <t>Late-cycle bearish</t>
        </is>
      </c>
      <c r="C9" s="26" t="inlineStr">
        <is>
          <t>Favor defensive sectors with pricing power</t>
        </is>
      </c>
      <c r="D9" s="26" t="inlineStr">
        <is>
          <t>Strategy assessment</t>
        </is>
      </c>
    </row>
    <row r="10"/>
    <row r="11" ht="30" customHeight="1">
      <c r="A11" s="22" t="inlineStr">
        <is>
          <t>VALUATION ASSUMPTIONS</t>
        </is>
      </c>
      <c r="B11" s="22" t="inlineStr">
        <is>
          <t>Value</t>
        </is>
      </c>
      <c r="C11" s="22" t="inlineStr">
        <is>
          <t>Notes</t>
        </is>
      </c>
      <c r="D11" s="22" t="inlineStr">
        <is>
          <t>Source</t>
        </is>
      </c>
    </row>
    <row r="12">
      <c r="A12" s="25" t="inlineStr">
        <is>
          <t>Target P/E Methodology</t>
        </is>
      </c>
      <c r="B12" s="53" t="inlineStr">
        <is>
          <t>Blended: 40% DCF, 30% Comps, 30% Consensus</t>
        </is>
      </c>
      <c r="C12" s="25" t="inlineStr">
        <is>
          <t>Conservative weighting; DCF uses 10% WACC</t>
        </is>
      </c>
      <c r="D12" s="25" t="inlineStr">
        <is>
          <t>Internal methodology</t>
        </is>
      </c>
    </row>
    <row r="13">
      <c r="A13" s="26" t="inlineStr">
        <is>
          <t>Discount Rate (WACC)</t>
        </is>
      </c>
      <c r="B13" s="54" t="inlineStr">
        <is>
          <t>9-11%</t>
        </is>
      </c>
      <c r="C13" s="26" t="inlineStr">
        <is>
          <t>Higher than historical to reflect elevated risk-free rate</t>
        </is>
      </c>
      <c r="D13" s="26" t="inlineStr">
        <is>
          <t>CAPM with equity risk premium</t>
        </is>
      </c>
    </row>
    <row r="14">
      <c r="A14" s="25" t="inlineStr">
        <is>
          <t>Terminal Growth Rate</t>
        </is>
      </c>
      <c r="B14" s="53" t="inlineStr">
        <is>
          <t>2.0-3.0%</t>
        </is>
      </c>
      <c r="C14" s="25" t="inlineStr">
        <is>
          <t>GDP-aligned; no premium</t>
        </is>
      </c>
      <c r="D14" s="25" t="inlineStr">
        <is>
          <t>Conservative assumption</t>
        </is>
      </c>
    </row>
    <row r="15">
      <c r="A15" s="26" t="inlineStr">
        <is>
          <t>Holding Period</t>
        </is>
      </c>
      <c r="B15" s="54" t="inlineStr">
        <is>
          <t>6-18 months</t>
        </is>
      </c>
      <c r="C15" s="26" t="inlineStr">
        <is>
          <t>Catalyst-driven recovery timeline</t>
        </is>
      </c>
      <c r="D15" s="26" t="inlineStr">
        <is>
          <t>Strategy parameter</t>
        </is>
      </c>
    </row>
    <row r="16">
      <c r="A16" s="25" t="inlineStr">
        <is>
          <t>Recovery Filter</t>
        </is>
      </c>
      <c r="B16" s="53" t="inlineStr">
        <is>
          <t>&lt;50% within 52-week range</t>
        </is>
      </c>
      <c r="C16" s="25" t="inlineStr">
        <is>
          <t>Screens out stocks that have already recovered significantly</t>
        </is>
      </c>
      <c r="D16" s="25" t="inlineStr">
        <is>
          <t>Custom filter to catch early-stage bottoming</t>
        </is>
      </c>
    </row>
    <row r="17"/>
    <row r="18" ht="30" customHeight="1">
      <c r="A18" s="22" t="inlineStr">
        <is>
          <t>PEER GROUP DEFINITIONS</t>
        </is>
      </c>
      <c r="B18" s="22" t="inlineStr">
        <is>
          <t>Peers Included</t>
        </is>
      </c>
      <c r="C18" s="22" t="inlineStr">
        <is>
          <t>Rationale</t>
        </is>
      </c>
      <c r="D18" s="22" t="inlineStr">
        <is>
          <t>Exclusions</t>
        </is>
      </c>
    </row>
    <row r="19">
      <c r="A19" s="25" t="inlineStr">
        <is>
          <t>NVO</t>
        </is>
      </c>
      <c r="B19" s="25" t="inlineStr">
        <is>
          <t>LLY, ABBV, MRK, PFE</t>
        </is>
      </c>
      <c r="C19" s="25" t="inlineStr">
        <is>
          <t>Large-cap pharma with GLP-1/obesity exposure</t>
        </is>
      </c>
      <c r="D19" s="25" t="inlineStr">
        <is>
          <t>AZN (different therapeutic focus)</t>
        </is>
      </c>
    </row>
    <row r="20">
      <c r="A20" s="26" t="inlineStr">
        <is>
          <t>UNH</t>
        </is>
      </c>
      <c r="B20" s="26" t="inlineStr">
        <is>
          <t>CI, ELV, HUM, CNC</t>
        </is>
      </c>
      <c r="C20" s="26" t="inlineStr">
        <is>
          <t>Managed care organizations with Medicare Advantage exposure</t>
        </is>
      </c>
      <c r="D20" s="26" t="inlineStr">
        <is>
          <t>CVS Aetna (balance sheet issues)</t>
        </is>
      </c>
    </row>
    <row r="21">
      <c r="A21" s="25" t="inlineStr">
        <is>
          <t>ZBH</t>
        </is>
      </c>
      <c r="B21" s="25" t="inlineStr">
        <is>
          <t>SYK, MDT (ortho segment)</t>
        </is>
      </c>
      <c r="C21" s="25" t="inlineStr">
        <is>
          <t>Orthopedic implant and robotic surgery companies</t>
        </is>
      </c>
      <c r="D21" s="25" t="inlineStr">
        <is>
          <t>GMED (smaller scale)</t>
        </is>
      </c>
    </row>
    <row r="22">
      <c r="A22" s="26" t="inlineStr">
        <is>
          <t>MDT</t>
        </is>
      </c>
      <c r="B22" s="26" t="inlineStr">
        <is>
          <t>ABT, SYK, BSX, EW</t>
        </is>
      </c>
      <c r="C22" s="26" t="inlineStr">
        <is>
          <t>Diversified large-cap medical device companies</t>
        </is>
      </c>
      <c r="D22" s="26" t="inlineStr">
        <is>
          <t>JNJ MedTech (different conglomerate structure)</t>
        </is>
      </c>
    </row>
    <row r="23">
      <c r="A23" s="25" t="inlineStr">
        <is>
          <t>BSX</t>
        </is>
      </c>
      <c r="B23" s="25" t="inlineStr">
        <is>
          <t>MDT, ABT, EW</t>
        </is>
      </c>
      <c r="C23" s="25" t="inlineStr">
        <is>
          <t>Cardiovascular and interventional device companies</t>
        </is>
      </c>
      <c r="D23" s="25" t="inlineStr">
        <is>
          <t>SYK (different sub-specialty focus)</t>
        </is>
      </c>
    </row>
    <row r="24"/>
    <row r="25" ht="30" customHeight="1">
      <c r="A25" s="22" t="inlineStr">
        <is>
          <t>DATA SOURCES</t>
        </is>
      </c>
      <c r="B25" s="22" t="inlineStr">
        <is>
          <t>Description</t>
        </is>
      </c>
      <c r="C25" s="22" t="inlineStr">
        <is>
          <t>As-of Date</t>
        </is>
      </c>
      <c r="D25" s="22" t="inlineStr">
        <is>
          <t>Notes</t>
        </is>
      </c>
    </row>
    <row r="26">
      <c r="A26" s="25" t="inlineStr">
        <is>
          <t>Financial Modeling Prep (FMP) API</t>
        </is>
      </c>
      <c r="B26" s="25" t="inlineStr">
        <is>
          <t>Fundamentals, ratios, estimates, price targets</t>
        </is>
      </c>
      <c r="C26" s="25" t="inlineStr">
        <is>
          <t>March 17, 2026</t>
        </is>
      </c>
      <c r="D26" s="25" t="inlineStr">
        <is>
          <t>Primary quantitative data source; stable API endpoints</t>
        </is>
      </c>
    </row>
    <row r="27">
      <c r="A27" s="26" t="inlineStr">
        <is>
          <t>stockanalysis.com</t>
        </is>
      </c>
      <c r="B27" s="26" t="inlineStr">
        <is>
          <t>Price, financials, estimates, peer data</t>
        </is>
      </c>
      <c r="C27" s="26" t="inlineStr">
        <is>
          <t>March 17, 2026</t>
        </is>
      </c>
      <c r="D27" s="26" t="inlineStr">
        <is>
          <t>Cross-reference for NVO deep dive</t>
        </is>
      </c>
    </row>
    <row r="28">
      <c r="A28" s="25" t="inlineStr">
        <is>
          <t>SEC EDGAR filings</t>
        </is>
      </c>
      <c r="B28" s="25" t="inlineStr">
        <is>
          <t>Annual and quarterly reports</t>
        </is>
      </c>
      <c r="C28" s="25" t="inlineStr">
        <is>
          <t>FY 2025 10-K filings</t>
        </is>
      </c>
      <c r="D28" s="25" t="inlineStr">
        <is>
          <t>Balance sheet and cash flow verification</t>
        </is>
      </c>
    </row>
    <row r="29">
      <c r="A29" s="26" t="inlineStr">
        <is>
          <t>Sell-side research</t>
        </is>
      </c>
      <c r="B29" s="26" t="inlineStr">
        <is>
          <t>Analyst ratings, price targets, estimates</t>
        </is>
      </c>
      <c r="C29" s="26" t="inlineStr">
        <is>
          <t>March 2026</t>
        </is>
      </c>
      <c r="D29" s="26" t="inlineStr">
        <is>
          <t>Goldman, JPM, MS, TD Cowen, Deutsche Bank</t>
        </is>
      </c>
    </row>
    <row r="30">
      <c r="A30" s="25" t="inlineStr">
        <is>
          <t>CMS/FDA databases</t>
        </is>
      </c>
      <c r="B30" s="25" t="inlineStr">
        <is>
          <t>IRA pricing, FDA approval timelines</t>
        </is>
      </c>
      <c r="C30" s="25" t="inlineStr">
        <is>
          <t>March 2026</t>
        </is>
      </c>
      <c r="D30" s="25" t="inlineStr">
        <is>
          <t>Medicare Fair Prices; PDUFA dates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2026-03-17T21:09:48Z</dcterms:created>
  <dcterms:modified xsi:type="dcterms:W3CDTF">2026-03-17T21:09:52Z</dcterms:modified>
</cp:coreProperties>
</file>
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STOCK SCORES" sheetId="2" state="visible" r:id="rId2"/>
    <sheet name="VALUATION COMPS" sheetId="3" state="visible" r:id="rId3"/>
    <sheet name="FUNDAMENTAL DATA" sheetId="4" state="visible" r:id="rId4"/>
    <sheet name="CATALYST TRACKER" sheetId="5" state="visible" r:id="rId5"/>
    <sheet name="RISK MATRIX" sheetId="6" state="visible" r:id="rId6"/>
    <sheet name="NVO DEEP DIVE" sheetId="7" state="visible" r:id="rId7"/>
    <sheet name="ASSUMPTIONS" sheetId="8" state="visible" r:id="rId8"/>
    <sheet name="SCREENER LOGIC" sheetId="9" state="visible" r:id="rId9"/>
  </sheets>
  <definedNames/>
  <calcPr calcId="124519" calcMode="auto" fullCalcOnLoad="1"/>
</workbook>
</file>

<file path=xl/styles.xml><?xml version="1.0" encoding="utf-8"?>
<styleSheet xmlns="http://schemas.openxmlformats.org/spreadsheetml/2006/main">
  <numFmts count="7">
    <numFmt numFmtId="164" formatCode="$#,##0.00"/>
    <numFmt numFmtId="165" formatCode="0.0%"/>
    <numFmt numFmtId="166" formatCode="0.0"/>
    <numFmt numFmtId="167" formatCode="0.0x"/>
    <numFmt numFmtId="168" formatCode="$#,##0.0"/>
    <numFmt numFmtId="169" formatCode="$#,##0.0;($#,##0.0);-"/>
    <numFmt numFmtId="170" formatCode="$#,##0"/>
  </numFmts>
  <fonts count="20">
    <font>
      <name val="Calibri"/>
      <family val="2"/>
      <color theme="1"/>
      <sz val="11"/>
      <scheme val="minor"/>
    </font>
    <font>
      <name val="Arial"/>
      <b val="1"/>
      <color rgb="00FFFFFF"/>
      <sz val="16"/>
    </font>
    <font>
      <name val="Arial"/>
      <i val="1"/>
      <color rgb="00595959"/>
      <sz val="10"/>
    </font>
    <font>
      <name val="Arial"/>
      <b val="1"/>
      <color rgb="00FFFFFF"/>
      <sz val="12"/>
    </font>
    <font>
      <name val="Arial"/>
      <b val="1"/>
      <color rgb="00FFFFFF"/>
      <sz val="11"/>
    </font>
    <font>
      <name val="Arial"/>
      <color rgb="00000000"/>
      <sz val="10"/>
    </font>
    <font>
      <name val="Arial"/>
      <color rgb="000000FF"/>
      <sz val="10"/>
    </font>
    <font>
      <name val="Arial"/>
      <b val="1"/>
      <color rgb="00375623"/>
      <sz val="10"/>
    </font>
    <font>
      <name val="Arial"/>
      <b val="1"/>
      <color rgb="009C6500"/>
      <sz val="10"/>
    </font>
    <font>
      <name val="Arial"/>
      <i val="1"/>
      <color rgb="00595959"/>
      <sz val="9"/>
    </font>
    <font>
      <name val="Arial"/>
      <b val="1"/>
      <color rgb="00000000"/>
      <sz val="11"/>
    </font>
    <font>
      <name val="Arial"/>
      <strike val="1"/>
      <color rgb="009C0006"/>
      <sz val="10"/>
    </font>
    <font>
      <name val="Arial"/>
      <b val="1"/>
      <color rgb="00FFFFFF"/>
      <sz val="14"/>
    </font>
    <font>
      <name val="Arial"/>
      <b val="1"/>
      <sz val="11"/>
    </font>
    <font>
      <name val="Arial"/>
      <color rgb="00595959"/>
      <sz val="9"/>
    </font>
    <font>
      <name val="Arial"/>
      <b val="1"/>
      <color rgb="00000000"/>
      <sz val="10"/>
    </font>
    <font>
      <name val="Arial"/>
      <i val="1"/>
      <color rgb="00595959"/>
      <sz val="8"/>
    </font>
    <font>
      <name val="Arial"/>
      <color rgb="00595959"/>
      <sz val="10"/>
    </font>
    <font>
      <name val="Arial"/>
      <b val="1"/>
      <color rgb="00375623"/>
      <sz val="13"/>
    </font>
    <font>
      <name val="Arial"/>
      <sz val="10"/>
    </font>
  </fonts>
  <fills count="18">
    <fill>
      <patternFill/>
    </fill>
    <fill>
      <patternFill patternType="gray125"/>
    </fill>
    <fill>
      <patternFill patternType="solid">
        <fgColor rgb="001F3864"/>
      </patternFill>
    </fill>
    <fill>
      <patternFill patternType="solid">
        <fgColor rgb="00E2EFDA"/>
      </patternFill>
    </fill>
    <fill>
      <patternFill patternType="solid">
        <fgColor rgb="00BDD7EE"/>
      </patternFill>
    </fill>
    <fill>
      <patternFill patternType="solid">
        <fgColor rgb="00F2F2F2"/>
      </patternFill>
    </fill>
    <fill>
      <patternFill patternType="solid">
        <fgColor rgb="00FFEB9C"/>
      </patternFill>
    </fill>
    <fill>
      <patternFill patternType="solid">
        <fgColor rgb="00E2D9F3"/>
      </patternFill>
    </fill>
    <fill>
      <patternFill patternType="solid">
        <fgColor rgb="00EBF3FB"/>
      </patternFill>
    </fill>
    <fill>
      <patternFill patternType="solid">
        <fgColor rgb="002E75B6"/>
      </patternFill>
    </fill>
    <fill>
      <patternFill patternType="solid">
        <fgColor rgb="007030A0"/>
      </patternFill>
    </fill>
    <fill>
      <patternFill patternType="solid">
        <fgColor rgb="00595959"/>
      </patternFill>
    </fill>
    <fill>
      <patternFill patternType="solid">
        <fgColor rgb="00D9D9D9"/>
      </patternFill>
    </fill>
    <fill>
      <patternFill patternType="solid">
        <fgColor rgb="00FFC7CE"/>
      </patternFill>
    </fill>
    <fill>
      <patternFill patternType="solid">
        <fgColor rgb="00FCE4D6"/>
      </patternFill>
    </fill>
    <fill>
      <patternFill patternType="solid">
        <fgColor rgb="00FFF2CC"/>
      </patternFill>
    </fill>
    <fill>
      <patternFill patternType="solid">
        <fgColor rgb="00375623"/>
      </patternFill>
    </fill>
    <fill>
      <patternFill patternType="solid">
        <fgColor rgb="009C0006"/>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77">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vertical="center"/>
    </xf>
    <xf numFmtId="0" fontId="3" fillId="2" borderId="0" applyAlignment="1" pivotButton="0" quotePrefix="0" xfId="0">
      <alignment horizontal="left" vertical="center"/>
    </xf>
    <xf numFmtId="0" fontId="4" fillId="2" borderId="1" applyAlignment="1" pivotButton="0" quotePrefix="0" xfId="0">
      <alignment horizontal="center" vertical="center" wrapText="1"/>
    </xf>
    <xf numFmtId="3" fontId="5" fillId="0" borderId="1" applyAlignment="1" pivotButton="0" quotePrefix="0" xfId="0">
      <alignment horizontal="center" vertical="center"/>
    </xf>
    <xf numFmtId="49" fontId="6" fillId="4" borderId="1" applyAlignment="1" pivotButton="0" quotePrefix="0" xfId="0">
      <alignment horizontal="center" vertical="center"/>
    </xf>
    <xf numFmtId="49" fontId="5" fillId="0" borderId="1" applyAlignment="1" pivotButton="0" quotePrefix="0" xfId="0">
      <alignment horizontal="center" vertical="center"/>
    </xf>
    <xf numFmtId="164" fontId="6" fillId="0" borderId="1" applyAlignment="1" pivotButton="0" quotePrefix="0" xfId="0">
      <alignment horizontal="center" vertical="center"/>
    </xf>
    <xf numFmtId="165" fontId="6" fillId="0" borderId="1" applyAlignment="1" pivotButton="0" quotePrefix="0" xfId="0">
      <alignment horizontal="center" vertical="center"/>
    </xf>
    <xf numFmtId="166" fontId="5" fillId="0" borderId="1" applyAlignment="1" pivotButton="0" quotePrefix="0" xfId="0">
      <alignment horizontal="center" vertical="center"/>
    </xf>
    <xf numFmtId="49" fontId="7" fillId="3" borderId="1" applyAlignment="1" pivotButton="0" quotePrefix="0" xfId="0">
      <alignment horizontal="center" vertical="center"/>
    </xf>
    <xf numFmtId="165" fontId="5" fillId="0" borderId="1" applyAlignment="1" pivotButton="0" quotePrefix="0" xfId="0">
      <alignment horizontal="center" vertical="center"/>
    </xf>
    <xf numFmtId="3" fontId="5" fillId="5" borderId="1" applyAlignment="1" pivotButton="0" quotePrefix="0" xfId="0">
      <alignment horizontal="center" vertical="center"/>
    </xf>
    <xf numFmtId="49" fontId="6" fillId="7" borderId="1" applyAlignment="1" pivotButton="0" quotePrefix="0" xfId="0">
      <alignment horizontal="center" vertical="center"/>
    </xf>
    <xf numFmtId="49" fontId="5" fillId="5" borderId="1" applyAlignment="1" pivotButton="0" quotePrefix="0" xfId="0">
      <alignment horizontal="center" vertical="center"/>
    </xf>
    <xf numFmtId="164" fontId="6" fillId="5" borderId="1" applyAlignment="1" pivotButton="0" quotePrefix="0" xfId="0">
      <alignment horizontal="center" vertical="center"/>
    </xf>
    <xf numFmtId="165" fontId="6" fillId="5" borderId="1" applyAlignment="1" pivotButton="0" quotePrefix="0" xfId="0">
      <alignment horizontal="center" vertical="center"/>
    </xf>
    <xf numFmtId="166" fontId="5" fillId="5" borderId="1" applyAlignment="1" pivotButton="0" quotePrefix="0" xfId="0">
      <alignment horizontal="center" vertical="center"/>
    </xf>
    <xf numFmtId="49" fontId="8" fillId="6" borderId="1" applyAlignment="1" pivotButton="0" quotePrefix="0" xfId="0">
      <alignment horizontal="center" vertical="center"/>
    </xf>
    <xf numFmtId="165" fontId="5" fillId="5" borderId="1" applyAlignment="1" pivotButton="0" quotePrefix="0" xfId="0">
      <alignment horizontal="center" vertical="center"/>
    </xf>
    <xf numFmtId="0" fontId="9" fillId="8" borderId="1" applyAlignment="1" pivotButton="0" quotePrefix="0" xfId="0">
      <alignment horizontal="left" vertical="center" wrapText="1"/>
    </xf>
    <xf numFmtId="0" fontId="3" fillId="9" borderId="0" applyAlignment="1" pivotButton="0" quotePrefix="0" xfId="0">
      <alignment horizontal="left" vertical="center"/>
    </xf>
    <xf numFmtId="0" fontId="4" fillId="9" borderId="1" applyAlignment="1" pivotButton="0" quotePrefix="0" xfId="0">
      <alignment horizontal="center" vertical="center" wrapText="1"/>
    </xf>
    <xf numFmtId="0" fontId="3" fillId="10" borderId="0" applyAlignment="1" pivotButton="0" quotePrefix="0" xfId="0">
      <alignment horizontal="left" vertical="center"/>
    </xf>
    <xf numFmtId="0" fontId="4" fillId="10" borderId="1" applyAlignment="1" pivotButton="0" quotePrefix="0" xfId="0">
      <alignment horizontal="center" vertical="center" wrapText="1"/>
    </xf>
    <xf numFmtId="0" fontId="4" fillId="11" borderId="0" applyAlignment="1" pivotButton="0" quotePrefix="0" xfId="0">
      <alignment horizontal="left" vertical="center"/>
    </xf>
    <xf numFmtId="0" fontId="10" fillId="12" borderId="1" applyAlignment="1" pivotButton="0" quotePrefix="0" xfId="0">
      <alignment horizontal="center" vertical="center" wrapText="1"/>
    </xf>
    <xf numFmtId="0" fontId="11" fillId="13" borderId="1" applyAlignment="1" pivotButton="0" quotePrefix="0" xfId="0">
      <alignment horizontal="center" vertical="center"/>
    </xf>
    <xf numFmtId="0" fontId="5" fillId="14" borderId="1" applyAlignment="1" pivotButton="0" quotePrefix="0" xfId="0">
      <alignment horizontal="center" vertical="center"/>
    </xf>
    <xf numFmtId="0" fontId="5" fillId="0"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15" borderId="1" applyAlignment="1" pivotButton="0" quotePrefix="0" xfId="0">
      <alignment horizontal="center" vertical="center"/>
    </xf>
    <xf numFmtId="0" fontId="5" fillId="3" borderId="1" applyAlignment="1" pivotButton="0" quotePrefix="0" xfId="0">
      <alignment horizontal="center" vertical="center"/>
    </xf>
    <xf numFmtId="0" fontId="12" fillId="2" borderId="0" applyAlignment="1" pivotButton="0" quotePrefix="0" xfId="0">
      <alignment horizontal="center" vertical="center"/>
    </xf>
    <xf numFmtId="0" fontId="9" fillId="8" borderId="0" applyAlignment="1" pivotButton="0" quotePrefix="0" xfId="0">
      <alignment horizontal="left" vertical="center"/>
    </xf>
    <xf numFmtId="0" fontId="4" fillId="9" borderId="0" applyAlignment="1" pivotButton="0" quotePrefix="0" xfId="0">
      <alignment horizontal="left" vertical="center"/>
    </xf>
    <xf numFmtId="0" fontId="13" fillId="4" borderId="1" pivotButton="0" quotePrefix="0" xfId="0"/>
    <xf numFmtId="0" fontId="14" fillId="0" borderId="1" pivotButton="0" quotePrefix="0" xfId="0"/>
    <xf numFmtId="166" fontId="6" fillId="0" borderId="1" applyAlignment="1" pivotButton="0" quotePrefix="0" xfId="0">
      <alignment horizontal="center" vertical="center"/>
    </xf>
    <xf numFmtId="166" fontId="10" fillId="0" borderId="1" applyAlignment="1" pivotButton="0" quotePrefix="0" xfId="0">
      <alignment horizontal="center" vertical="center"/>
    </xf>
    <xf numFmtId="0" fontId="15" fillId="0" borderId="1" applyAlignment="1" pivotButton="0" quotePrefix="0" xfId="0">
      <alignment horizontal="center" vertical="center"/>
    </xf>
    <xf numFmtId="0" fontId="9" fillId="0" borderId="0" pivotButton="0" quotePrefix="0" xfId="0"/>
    <xf numFmtId="0" fontId="16" fillId="0" borderId="0" applyAlignment="1" pivotButton="0" quotePrefix="0" xfId="0">
      <alignment horizontal="left" vertical="top" wrapText="1"/>
    </xf>
    <xf numFmtId="166" fontId="6" fillId="5" borderId="1" applyAlignment="1" pivotButton="0" quotePrefix="0" xfId="0">
      <alignment horizontal="center" vertical="center"/>
    </xf>
    <xf numFmtId="0" fontId="4" fillId="10" borderId="0" applyAlignment="1" pivotButton="0" quotePrefix="0" xfId="0">
      <alignment horizontal="left" vertical="center"/>
    </xf>
    <xf numFmtId="0" fontId="13" fillId="7" borderId="1" pivotButton="0" quotePrefix="0" xfId="0"/>
    <xf numFmtId="167" fontId="6" fillId="0" borderId="1" applyAlignment="1" pivotButton="0" quotePrefix="0" xfId="0">
      <alignment horizontal="center" vertical="center"/>
    </xf>
    <xf numFmtId="167" fontId="6" fillId="5" borderId="1" applyAlignment="1" pivotButton="0" quotePrefix="0" xfId="0">
      <alignment horizontal="center" vertical="center"/>
    </xf>
    <xf numFmtId="168" fontId="6" fillId="0" borderId="1" applyAlignment="1" pivotButton="0" quotePrefix="0" xfId="0">
      <alignment horizontal="center" vertical="center"/>
    </xf>
    <xf numFmtId="169" fontId="6" fillId="0" borderId="1" applyAlignment="1" pivotButton="0" quotePrefix="0" xfId="0">
      <alignment horizontal="center" vertical="center"/>
    </xf>
    <xf numFmtId="49" fontId="6" fillId="0" borderId="1" applyAlignment="1" pivotButton="0" quotePrefix="0" xfId="0">
      <alignment horizontal="center" vertical="center"/>
    </xf>
    <xf numFmtId="168" fontId="6" fillId="5" borderId="1" applyAlignment="1" pivotButton="0" quotePrefix="0" xfId="0">
      <alignment horizontal="center" vertical="center"/>
    </xf>
    <xf numFmtId="169" fontId="6" fillId="5" borderId="1" applyAlignment="1" pivotButton="0" quotePrefix="0" xfId="0">
      <alignment horizontal="center" vertical="center"/>
    </xf>
    <xf numFmtId="49" fontId="6" fillId="5" borderId="1" applyAlignment="1" pivotButton="0" quotePrefix="0" xfId="0">
      <alignment horizontal="center" vertical="center"/>
    </xf>
    <xf numFmtId="9" fontId="6" fillId="0" borderId="1" applyAlignment="1" pivotButton="0" quotePrefix="0" xfId="0">
      <alignment horizontal="center" vertical="center"/>
    </xf>
    <xf numFmtId="9" fontId="6" fillId="5" borderId="1" applyAlignment="1" pivotButton="0" quotePrefix="0" xfId="0">
      <alignment horizontal="center" vertical="center"/>
    </xf>
    <xf numFmtId="0" fontId="3" fillId="9" borderId="0" applyAlignment="1" pivotButton="0" quotePrefix="0" xfId="0">
      <alignment vertical="center"/>
    </xf>
    <xf numFmtId="170" fontId="6" fillId="0" borderId="1" applyAlignment="1" pivotButton="0" quotePrefix="0" xfId="0">
      <alignment horizontal="center" vertical="center"/>
    </xf>
    <xf numFmtId="170" fontId="6" fillId="5" borderId="1" applyAlignment="1" pivotButton="0" quotePrefix="0" xfId="0">
      <alignment horizontal="center" vertical="center"/>
    </xf>
    <xf numFmtId="0" fontId="17" fillId="0" borderId="0" applyAlignment="1" pivotButton="0" quotePrefix="0" xfId="0">
      <alignment horizontal="left" vertical="center"/>
    </xf>
    <xf numFmtId="0" fontId="13" fillId="0" borderId="0" pivotButton="0" quotePrefix="0" xfId="0"/>
    <xf numFmtId="0" fontId="18" fillId="0" borderId="0" pivotButton="0" quotePrefix="0" xfId="0"/>
    <xf numFmtId="0" fontId="19" fillId="0" borderId="0" applyAlignment="1" pivotButton="0" quotePrefix="0" xfId="0">
      <alignment horizontal="left" vertical="top" wrapText="1"/>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15" fillId="0" borderId="1" applyAlignment="1" pivotButton="0" quotePrefix="0" xfId="0">
      <alignment horizontal="left" vertical="top" wrapText="1"/>
    </xf>
    <xf numFmtId="0" fontId="17" fillId="0" borderId="1" applyAlignment="1" pivotButton="0" quotePrefix="0" xfId="0">
      <alignment horizontal="left" vertical="top" wrapText="1"/>
    </xf>
    <xf numFmtId="0" fontId="15" fillId="5" borderId="1" applyAlignment="1" pivotButton="0" quotePrefix="0" xfId="0">
      <alignment horizontal="left" vertical="top" wrapText="1"/>
    </xf>
    <xf numFmtId="0" fontId="17" fillId="5" borderId="1" applyAlignment="1" pivotButton="0" quotePrefix="0" xfId="0">
      <alignment horizontal="left" vertical="top" wrapText="1"/>
    </xf>
    <xf numFmtId="0" fontId="5" fillId="0" borderId="1" applyAlignment="1" pivotButton="0" quotePrefix="0" xfId="0">
      <alignment horizontal="left" vertical="top" wrapText="1"/>
    </xf>
    <xf numFmtId="0" fontId="5" fillId="5" borderId="1" applyAlignment="1" pivotButton="0" quotePrefix="0" xfId="0">
      <alignment horizontal="left" vertical="top" wrapText="1"/>
    </xf>
    <xf numFmtId="0" fontId="3" fillId="16" borderId="0" applyAlignment="1" pivotButton="0" quotePrefix="0" xfId="0">
      <alignment horizontal="left" vertical="center"/>
    </xf>
    <xf numFmtId="0" fontId="3" fillId="17" borderId="0" applyAlignment="1" pivotButton="0" quotePrefix="0" xfId="0">
      <alignment horizontal="left" vertical="center"/>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39"/>
  <sheetViews>
    <sheetView showGridLines="0" workbookViewId="0">
      <pane ySplit="5" topLeftCell="A6" activePane="bottomLeft" state="frozen"/>
      <selection pane="bottomLeft" activeCell="A1" sqref="A1"/>
    </sheetView>
  </sheetViews>
  <sheetFormatPr baseColWidth="8" defaultRowHeight="15"/>
  <cols>
    <col width="6" customWidth="1" min="1" max="1"/>
    <col width="8" customWidth="1" min="2" max="2"/>
    <col width="28" customWidth="1" min="3" max="3"/>
    <col width="22" customWidth="1" min="4" max="4"/>
    <col width="10" customWidth="1" min="5" max="5"/>
    <col width="10" customWidth="1" min="6" max="6"/>
    <col width="10" customWidth="1" min="7" max="7"/>
    <col width="18" customWidth="1" min="8" max="8"/>
    <col width="10" customWidth="1" min="9" max="9"/>
    <col width="8" customWidth="1" min="10" max="10"/>
    <col width="10" customWidth="1" min="11" max="11"/>
    <col width="35" customWidth="1" min="12" max="12"/>
    <col width="35" customWidth="1" min="13" max="13"/>
    <col width="14" customWidth="1" min="14" max="14"/>
    <col width="30" customWidth="1" min="15" max="15"/>
    <col width="22" customWidth="1" min="16" max="16"/>
    <col width="10" customWidth="1" min="17" max="17"/>
  </cols>
  <sheetData>
    <row r="1" ht="45" customHeight="1">
      <c r="A1" s="1" t="inlineStr">
        <is>
          <t>EQUITY SCREENER — BEATEN-DOWN VALUE WITH UPSIDE</t>
        </is>
      </c>
    </row>
    <row r="2" ht="20" customHeight="1">
      <c r="A2" s="2" t="inlineStr">
        <is>
          <t>Strategy: Contrarian Value | Macro: Bearish Credit &amp; US Economy | Sectors: Healthcare · International | Top 5 per Sector | As of: March 18, 2026</t>
        </is>
      </c>
    </row>
    <row r="3"/>
    <row r="4" ht="28" customHeight="1">
      <c r="A4" s="3" t="inlineStr">
        <is>
          <t>MASTER RANKING — ALL SECTORS (sorted by Composite Score)</t>
        </is>
      </c>
    </row>
    <row r="5" ht="40" customHeight="1">
      <c r="A5" s="4" t="inlineStr">
        <is>
          <t>Rank</t>
        </is>
      </c>
      <c r="B5" s="4" t="inlineStr">
        <is>
          <t>Ticker</t>
        </is>
      </c>
      <c r="C5" s="4" t="inlineStr">
        <is>
          <t>Company</t>
        </is>
      </c>
      <c r="D5" s="4" t="inlineStr">
        <is>
          <t>Sector</t>
        </is>
      </c>
      <c r="E5" s="4" t="inlineStr">
        <is>
          <t>Price</t>
        </is>
      </c>
      <c r="F5" s="4" t="inlineStr">
        <is>
          <t>% Off High</t>
        </is>
      </c>
      <c r="G5" s="4" t="inlineStr">
        <is>
          <t>Composite
Score</t>
        </is>
      </c>
      <c r="H5" s="4" t="inlineStr">
        <is>
          <t>Recommendation</t>
        </is>
      </c>
      <c r="I5" s="4" t="inlineStr">
        <is>
          <t>Target
Price</t>
        </is>
      </c>
      <c r="J5" s="4" t="inlineStr">
        <is>
          <t>Upside
(%)</t>
        </is>
      </c>
      <c r="K5" s="4" t="inlineStr">
        <is>
          <t>Expected
Value (%)</t>
        </is>
      </c>
      <c r="L5" s="4" t="inlineStr">
        <is>
          <t>Key Risk</t>
        </is>
      </c>
      <c r="M5" s="4" t="inlineStr">
        <is>
          <t>Key Catalyst</t>
        </is>
      </c>
      <c r="N5" s="4" t="inlineStr">
        <is>
          <t>Analyst
Consensus</t>
        </is>
      </c>
      <c r="O5" s="4" t="inlineStr">
        <is>
          <t>Catalyst Name
&amp; Date</t>
        </is>
      </c>
      <c r="P5" s="4" t="inlineStr">
        <is>
          <t>Selloff
Type</t>
        </is>
      </c>
      <c r="Q5" s="4" t="inlineStr">
        <is>
          <t>Criminal/
Reg Flag</t>
        </is>
      </c>
    </row>
    <row r="6" ht="20" customHeight="1">
      <c r="A6" s="5" t="n">
        <v>1</v>
      </c>
      <c r="B6" s="6" t="inlineStr">
        <is>
          <t>BSX</t>
        </is>
      </c>
      <c r="C6" s="7" t="inlineStr">
        <is>
          <t>Boston Scientific Corp.</t>
        </is>
      </c>
      <c r="D6" s="7" t="inlineStr">
        <is>
          <t>Healthcare</t>
        </is>
      </c>
      <c r="E6" s="8" t="n">
        <v>71.20999999999999</v>
      </c>
      <c r="F6" s="9" t="n">
        <v>-0.35</v>
      </c>
      <c r="G6" s="10" t="n">
        <v>8.199999999999999</v>
      </c>
      <c r="H6" s="11" t="inlineStr">
        <is>
          <t>STRONG BUY</t>
        </is>
      </c>
      <c r="I6" s="8" t="n">
        <v>100</v>
      </c>
      <c r="J6" s="12" t="n">
        <v>0.404</v>
      </c>
      <c r="K6" s="12" t="n">
        <v>0.215</v>
      </c>
      <c r="L6" s="7" t="inlineStr">
        <is>
          <t>Tariff risk on medical device supply chain; premium valuation on trailing P/E</t>
        </is>
      </c>
      <c r="M6" s="7" t="inlineStr">
        <is>
          <t>CHAMPION-AF trial readout ACC March 28 2026; FARAPULSE PFA dominance; Penumbra integration</t>
        </is>
      </c>
      <c r="N6" s="7" t="inlineStr">
        <is>
          <t>Strong Buy</t>
        </is>
      </c>
      <c r="O6" s="7" t="inlineStr">
        <is>
          <t>CHAMPION-AF trial readout at ACC — March 28, 2026</t>
        </is>
      </c>
      <c r="P6" s="7" t="inlineStr">
        <is>
          <t>Single-event overreaction</t>
        </is>
      </c>
      <c r="Q6" s="7" t="inlineStr">
        <is>
          <t>N</t>
        </is>
      </c>
    </row>
    <row r="7" ht="20" customHeight="1">
      <c r="A7" s="13" t="n">
        <v>2</v>
      </c>
      <c r="B7" s="14" t="inlineStr">
        <is>
          <t>NVO</t>
        </is>
      </c>
      <c r="C7" s="15" t="inlineStr">
        <is>
          <t>Novo Nordisk A/S</t>
        </is>
      </c>
      <c r="D7" s="15" t="inlineStr">
        <is>
          <t>International</t>
        </is>
      </c>
      <c r="E7" s="16" t="n">
        <v>38.52</v>
      </c>
      <c r="F7" s="17" t="n">
        <v>-0.73</v>
      </c>
      <c r="G7" s="18" t="n">
        <v>7.4</v>
      </c>
      <c r="H7" s="19" t="inlineStr">
        <is>
          <t>BUY</t>
        </is>
      </c>
      <c r="I7" s="16" t="n">
        <v>50</v>
      </c>
      <c r="J7" s="20" t="n">
        <v>0.298</v>
      </c>
      <c r="K7" s="20" t="n">
        <v>0.152</v>
      </c>
      <c r="L7" s="15" t="inlineStr">
        <is>
          <t>CagriSema approval delay; LLY structural market share gains; IRA pricing</t>
        </is>
      </c>
      <c r="M7" s="15" t="inlineStr">
        <is>
          <t>CagriSema FDA decision late 2026; Medicare obesity coverage Jul 2026; oral Wegovy ramp</t>
        </is>
      </c>
      <c r="N7" s="15" t="inlineStr">
        <is>
          <t>Hold</t>
        </is>
      </c>
      <c r="O7" s="15" t="inlineStr">
        <is>
          <t>CagriSema FDA approval decision — Q4 2026</t>
        </is>
      </c>
      <c r="P7" s="15" t="inlineStr">
        <is>
          <t>Multi-factor compounding</t>
        </is>
      </c>
      <c r="Q7" s="15" t="inlineStr">
        <is>
          <t>N</t>
        </is>
      </c>
    </row>
    <row r="8" ht="20" customHeight="1">
      <c r="A8" s="5" t="n">
        <v>3</v>
      </c>
      <c r="B8" s="6" t="inlineStr">
        <is>
          <t>MDT</t>
        </is>
      </c>
      <c r="C8" s="7" t="inlineStr">
        <is>
          <t>Medtronic plc</t>
        </is>
      </c>
      <c r="D8" s="7" t="inlineStr">
        <is>
          <t>Healthcare</t>
        </is>
      </c>
      <c r="E8" s="8" t="n">
        <v>88.31999999999999</v>
      </c>
      <c r="F8" s="9" t="n">
        <v>-0.346</v>
      </c>
      <c r="G8" s="10" t="n">
        <v>6.9</v>
      </c>
      <c r="H8" s="19" t="inlineStr">
        <is>
          <t>BUY</t>
        </is>
      </c>
      <c r="I8" s="8" t="n">
        <v>110</v>
      </c>
      <c r="J8" s="12" t="n">
        <v>0.246</v>
      </c>
      <c r="K8" s="12" t="n">
        <v>0.112</v>
      </c>
      <c r="L8" s="7" t="inlineStr">
        <is>
          <t>Innovation gap vs SYK/ABT; GLP-1 impact on procedure volumes; execution risk on strategic pivot</t>
        </is>
      </c>
      <c r="M8" s="7" t="inlineStr">
        <is>
          <t>MiniMed spin end-2026; Elliott-driven Investor Day mid-2026; PFA running +80%</t>
        </is>
      </c>
      <c r="N8" s="7" t="inlineStr">
        <is>
          <t>Buy</t>
        </is>
      </c>
      <c r="O8" s="7" t="inlineStr">
        <is>
          <t>MiniMed diabetes spin-off — End 2026</t>
        </is>
      </c>
      <c r="P8" s="7" t="inlineStr">
        <is>
          <t>Confirmed inflection</t>
        </is>
      </c>
      <c r="Q8" s="7" t="inlineStr">
        <is>
          <t>N</t>
        </is>
      </c>
    </row>
    <row r="9"/>
    <row r="10" ht="30" customHeight="1">
      <c r="A10" s="21" t="inlineStr">
        <is>
          <t>PORTFOLIO CONSTRUCTION GUIDANCE  |  Strong Buy (&gt;=8.0): 3-5% position  |  Buy (6.5-7.9): 2-3% position  |  Speculative (5.0-6.4): 1% or watchlist only  |  Max single position: 5%  |  Total strategy exposure: 15-25% of portfolio  |  All positions: define stop-loss at 15-20% from entry before initiating</t>
        </is>
      </c>
      <c r="B10" s="75" t="n"/>
      <c r="C10" s="75" t="n"/>
      <c r="D10" s="75" t="n"/>
      <c r="E10" s="75" t="n"/>
      <c r="F10" s="75" t="n"/>
      <c r="G10" s="75" t="n"/>
      <c r="H10" s="75" t="n"/>
      <c r="I10" s="75" t="n"/>
      <c r="J10" s="75" t="n"/>
      <c r="K10" s="75" t="n"/>
      <c r="L10" s="75" t="n"/>
      <c r="M10" s="75" t="n"/>
      <c r="N10" s="75" t="n"/>
      <c r="O10" s="75" t="n"/>
      <c r="P10" s="75" t="n"/>
      <c r="Q10" s="76" t="n"/>
    </row>
    <row r="11"/>
    <row r="12"/>
    <row r="13" ht="28" customHeight="1">
      <c r="A13" s="22" t="inlineStr">
        <is>
          <t>TOP 5 — HEALTHCARE</t>
        </is>
      </c>
    </row>
    <row r="14" ht="35" customHeight="1">
      <c r="A14" s="23" t="inlineStr">
        <is>
          <t>Rank</t>
        </is>
      </c>
      <c r="B14" s="23" t="inlineStr">
        <is>
          <t>Ticker</t>
        </is>
      </c>
      <c r="C14" s="23" t="inlineStr">
        <is>
          <t>Company</t>
        </is>
      </c>
      <c r="D14" s="23" t="inlineStr">
        <is>
          <t>Sector</t>
        </is>
      </c>
      <c r="E14" s="23" t="inlineStr">
        <is>
          <t>Price</t>
        </is>
      </c>
      <c r="F14" s="23" t="inlineStr">
        <is>
          <t>% Off High</t>
        </is>
      </c>
      <c r="G14" s="23" t="inlineStr">
        <is>
          <t>Composite
Score</t>
        </is>
      </c>
      <c r="H14" s="23" t="inlineStr">
        <is>
          <t>Recommendation</t>
        </is>
      </c>
      <c r="I14" s="23" t="inlineStr">
        <is>
          <t>Target
Price</t>
        </is>
      </c>
      <c r="J14" s="23" t="inlineStr">
        <is>
          <t>Upside
(%)</t>
        </is>
      </c>
      <c r="K14" s="23" t="inlineStr">
        <is>
          <t>Expected
Value (%)</t>
        </is>
      </c>
      <c r="L14" s="23" t="inlineStr">
        <is>
          <t>Key Risk</t>
        </is>
      </c>
      <c r="M14" s="23" t="inlineStr">
        <is>
          <t>Key Catalyst</t>
        </is>
      </c>
      <c r="N14" s="23" t="inlineStr">
        <is>
          <t>Analyst
Consensus</t>
        </is>
      </c>
      <c r="O14" s="23" t="inlineStr">
        <is>
          <t>Catalyst Name
&amp; Date</t>
        </is>
      </c>
      <c r="P14" s="23" t="inlineStr">
        <is>
          <t>Selloff
Type</t>
        </is>
      </c>
      <c r="Q14" s="23" t="inlineStr">
        <is>
          <t>Criminal/
Reg Flag</t>
        </is>
      </c>
    </row>
    <row r="15" ht="20" customHeight="1">
      <c r="A15" s="5" t="n">
        <v>1</v>
      </c>
      <c r="B15" s="6" t="inlineStr">
        <is>
          <t>BSX</t>
        </is>
      </c>
      <c r="C15" s="7" t="inlineStr">
        <is>
          <t>Boston Scientific Corp.</t>
        </is>
      </c>
      <c r="D15" s="7" t="inlineStr">
        <is>
          <t>Healthcare</t>
        </is>
      </c>
      <c r="E15" s="8" t="n">
        <v>71.20999999999999</v>
      </c>
      <c r="F15" s="9" t="n">
        <v>-0.35</v>
      </c>
      <c r="G15" s="10" t="n">
        <v>8.199999999999999</v>
      </c>
      <c r="H15" s="11" t="inlineStr">
        <is>
          <t>STRONG BUY</t>
        </is>
      </c>
      <c r="I15" s="8" t="n">
        <v>100</v>
      </c>
      <c r="J15" s="12" t="n">
        <v>0.404</v>
      </c>
      <c r="K15" s="12" t="n">
        <v>0.215</v>
      </c>
      <c r="L15" s="7" t="inlineStr">
        <is>
          <t>Tariff risk on medical device supply chain; premium valuation on trailing P/E</t>
        </is>
      </c>
      <c r="M15" s="7" t="inlineStr">
        <is>
          <t>CHAMPION-AF trial readout ACC March 28 2026; FARAPULSE PFA dominance; Penumbra integration</t>
        </is>
      </c>
      <c r="N15" s="7" t="inlineStr">
        <is>
          <t>Strong Buy</t>
        </is>
      </c>
      <c r="O15" s="7" t="inlineStr">
        <is>
          <t>CHAMPION-AF trial readout at ACC — March 28, 2026</t>
        </is>
      </c>
      <c r="P15" s="7" t="inlineStr">
        <is>
          <t>Single-event overreaction</t>
        </is>
      </c>
      <c r="Q15" s="7" t="inlineStr">
        <is>
          <t>N</t>
        </is>
      </c>
    </row>
    <row r="16" ht="20" customHeight="1">
      <c r="A16" s="13" t="n">
        <v>2</v>
      </c>
      <c r="B16" s="6" t="inlineStr">
        <is>
          <t>MDT</t>
        </is>
      </c>
      <c r="C16" s="15" t="inlineStr">
        <is>
          <t>Medtronic plc</t>
        </is>
      </c>
      <c r="D16" s="15" t="inlineStr">
        <is>
          <t>Healthcare</t>
        </is>
      </c>
      <c r="E16" s="16" t="n">
        <v>88.31999999999999</v>
      </c>
      <c r="F16" s="17" t="n">
        <v>-0.346</v>
      </c>
      <c r="G16" s="18" t="n">
        <v>6.9</v>
      </c>
      <c r="H16" s="19" t="inlineStr">
        <is>
          <t>BUY</t>
        </is>
      </c>
      <c r="I16" s="16" t="n">
        <v>110</v>
      </c>
      <c r="J16" s="20" t="n">
        <v>0.246</v>
      </c>
      <c r="K16" s="20" t="n">
        <v>0.112</v>
      </c>
      <c r="L16" s="15" t="inlineStr">
        <is>
          <t>Innovation gap vs SYK/ABT; GLP-1 impact on procedure volumes; execution risk on strategic pivot</t>
        </is>
      </c>
      <c r="M16" s="15" t="inlineStr">
        <is>
          <t>MiniMed spin end-2026; Elliott-driven Investor Day mid-2026; PFA running +80%</t>
        </is>
      </c>
      <c r="N16" s="15" t="inlineStr">
        <is>
          <t>Buy</t>
        </is>
      </c>
      <c r="O16" s="15" t="inlineStr">
        <is>
          <t>MiniMed diabetes spin-off — End 2026</t>
        </is>
      </c>
      <c r="P16" s="15" t="inlineStr">
        <is>
          <t>Confirmed inflection</t>
        </is>
      </c>
      <c r="Q16" s="15" t="inlineStr">
        <is>
          <t>N</t>
        </is>
      </c>
    </row>
    <row r="17"/>
    <row r="18"/>
    <row r="19" ht="28" customHeight="1">
      <c r="A19" s="24" t="inlineStr">
        <is>
          <t>TOP 5 — INTERNATIONAL</t>
        </is>
      </c>
    </row>
    <row r="20" ht="35" customHeight="1">
      <c r="A20" s="25" t="inlineStr">
        <is>
          <t>Rank</t>
        </is>
      </c>
      <c r="B20" s="25" t="inlineStr">
        <is>
          <t>Ticker</t>
        </is>
      </c>
      <c r="C20" s="25" t="inlineStr">
        <is>
          <t>Company</t>
        </is>
      </c>
      <c r="D20" s="25" t="inlineStr">
        <is>
          <t>Sector</t>
        </is>
      </c>
      <c r="E20" s="25" t="inlineStr">
        <is>
          <t>Price</t>
        </is>
      </c>
      <c r="F20" s="25" t="inlineStr">
        <is>
          <t>% Off High</t>
        </is>
      </c>
      <c r="G20" s="25" t="inlineStr">
        <is>
          <t>Composite
Score</t>
        </is>
      </c>
      <c r="H20" s="25" t="inlineStr">
        <is>
          <t>Recommendation</t>
        </is>
      </c>
      <c r="I20" s="25" t="inlineStr">
        <is>
          <t>Target
Price</t>
        </is>
      </c>
      <c r="J20" s="25" t="inlineStr">
        <is>
          <t>Upside
(%)</t>
        </is>
      </c>
      <c r="K20" s="25" t="inlineStr">
        <is>
          <t>Expected
Value (%)</t>
        </is>
      </c>
      <c r="L20" s="25" t="inlineStr">
        <is>
          <t>Key Risk</t>
        </is>
      </c>
      <c r="M20" s="25" t="inlineStr">
        <is>
          <t>Key Catalyst</t>
        </is>
      </c>
      <c r="N20" s="25" t="inlineStr">
        <is>
          <t>Analyst
Consensus</t>
        </is>
      </c>
      <c r="O20" s="25" t="inlineStr">
        <is>
          <t>Catalyst Name
&amp; Date</t>
        </is>
      </c>
      <c r="P20" s="25" t="inlineStr">
        <is>
          <t>Selloff
Type</t>
        </is>
      </c>
      <c r="Q20" s="25" t="inlineStr">
        <is>
          <t>Criminal/
Reg Flag</t>
        </is>
      </c>
    </row>
    <row r="21" ht="20" customHeight="1">
      <c r="A21" s="5" t="n">
        <v>1</v>
      </c>
      <c r="B21" s="14" t="inlineStr">
        <is>
          <t>NVO</t>
        </is>
      </c>
      <c r="C21" s="7" t="inlineStr">
        <is>
          <t>Novo Nordisk A/S</t>
        </is>
      </c>
      <c r="D21" s="7" t="inlineStr">
        <is>
          <t>International</t>
        </is>
      </c>
      <c r="E21" s="8" t="n">
        <v>38.52</v>
      </c>
      <c r="F21" s="9" t="n">
        <v>-0.73</v>
      </c>
      <c r="G21" s="10" t="n">
        <v>7.4</v>
      </c>
      <c r="H21" s="19" t="inlineStr">
        <is>
          <t>BUY</t>
        </is>
      </c>
      <c r="I21" s="8" t="n">
        <v>50</v>
      </c>
      <c r="J21" s="12" t="n">
        <v>0.298</v>
      </c>
      <c r="K21" s="12" t="n">
        <v>0.152</v>
      </c>
      <c r="L21" s="7" t="inlineStr">
        <is>
          <t>CagriSema approval delay; LLY structural market share gains; IRA pricing</t>
        </is>
      </c>
      <c r="M21" s="7" t="inlineStr">
        <is>
          <t>CagriSema FDA decision late 2026; Medicare obesity coverage Jul 2026; oral Wegovy ramp</t>
        </is>
      </c>
      <c r="N21" s="7" t="inlineStr">
        <is>
          <t>Hold</t>
        </is>
      </c>
      <c r="O21" s="7" t="inlineStr">
        <is>
          <t>CagriSema FDA approval decision — Q4 2026</t>
        </is>
      </c>
      <c r="P21" s="7" t="inlineStr">
        <is>
          <t>Multi-factor compounding</t>
        </is>
      </c>
      <c r="Q21" s="7" t="inlineStr">
        <is>
          <t>N</t>
        </is>
      </c>
    </row>
    <row r="22"/>
    <row r="23"/>
    <row r="24"/>
    <row r="25" ht="22" customHeight="1">
      <c r="A25" s="26" t="inlineStr">
        <is>
          <t>SCREENED OUT — DID NOT PASS HARD FILTERS</t>
        </is>
      </c>
    </row>
    <row r="26" ht="30" customHeight="1">
      <c r="A26" s="27" t="inlineStr">
        <is>
          <t>Ticker</t>
        </is>
      </c>
      <c r="B26" s="27" t="inlineStr">
        <is>
          <t>Company</t>
        </is>
      </c>
      <c r="C26" s="27" t="inlineStr">
        <is>
          <t>Sector</t>
        </is>
      </c>
      <c r="D26" s="27" t="inlineStr">
        <is>
          <t>Failure Type</t>
        </is>
      </c>
      <c r="E26" s="27" t="inlineStr">
        <is>
          <t>Reason</t>
        </is>
      </c>
      <c r="F26" s="27" t="inlineStr">
        <is>
          <t>Revisit Trigger</t>
        </is>
      </c>
      <c r="G26" s="27" t="inlineStr">
        <is>
          <t>Disqualifier</t>
        </is>
      </c>
    </row>
    <row r="27">
      <c r="A27" s="28" t="inlineStr">
        <is>
          <t>UNH</t>
        </is>
      </c>
      <c r="B27" s="28" t="inlineStr">
        <is>
          <t>UnitedHealth Group Inc.</t>
        </is>
      </c>
      <c r="C27" s="28" t="inlineStr">
        <is>
          <t>Healthcare</t>
        </is>
      </c>
      <c r="D27" s="28" t="inlineStr">
        <is>
          <t>HARD FILTER: Criminal/DOJ probe</t>
        </is>
      </c>
      <c r="E27" s="28" t="inlineStr">
        <is>
          <t>Active DOJ criminal AND civil investigations into Medicare Advantage billing, Optum Rx, and physician reimbursement. Criminal investigations of this scope take 3-6+ years to resolve. Liability is unmodelable. Management denied the investigation before being forced to acknowledge it — credibility is zero. Unbounded downside risk from fines, executive departures, customer defection, reputational damage.</t>
        </is>
      </c>
      <c r="F27" s="28" t="inlineStr">
        <is>
          <t>DOJ investigation formally closed with no charges OR confirmed as civil-only with quantified settlement range; stock must not have recovered above $400</t>
        </is>
      </c>
      <c r="G27" s="28" t="inlineStr">
        <is>
          <t>Criminal DOJ investigation — open-ended liability</t>
        </is>
      </c>
    </row>
    <row r="28">
      <c r="A28" s="28" t="inlineStr">
        <is>
          <t>ZBH</t>
        </is>
      </c>
      <c r="B28" s="28" t="inlineStr">
        <is>
          <t>Zimmer Biomet Holdings Inc.</t>
        </is>
      </c>
      <c r="C28" s="28" t="inlineStr">
        <is>
          <t>Healthcare</t>
        </is>
      </c>
      <c r="D28" s="28" t="inlineStr">
        <is>
          <t>HARD FILTER: Chronic underperformer, no confirmed inflection</t>
        </is>
      </c>
      <c r="E28" s="28" t="inlineStr">
        <is>
          <t>Underperformed S&amp;P 500 in 4 of last 5 years. 2026 guidance of 1-3% organic growth is below industry average. Losing US robotic surgery technology war to Stryker MAKO — structural share loss. Simultaneously disrupting own salesforce and running two competing robotic platforms (ROSA and mBOS). Goldman has Sell rating. 'Cheap for a reason' discount is earned.</t>
        </is>
      </c>
      <c r="F28" s="28" t="inlineStr">
        <is>
          <t>2+ consecutive quarters of organic growth above 4% (industry average) with documented robotic surgery share gains; Goldman or equivalent upgrades from Sell to Buy based on data, not hope</t>
        </is>
      </c>
      <c r="G28" s="28" t="inlineStr">
        <is>
          <t>Chronic underperformer — 3+ years of losing share to SYK with no confirmed inflection in reported numbers</t>
        </is>
      </c>
    </row>
    <row r="29">
      <c r="A29" s="29" t="inlineStr">
        <is>
          <t>BA</t>
        </is>
      </c>
      <c r="B29" s="30" t="inlineStr">
        <is>
          <t>Boeing Co.</t>
        </is>
      </c>
      <c r="C29" s="30" t="inlineStr">
        <is>
          <t>Industrials</t>
        </is>
      </c>
      <c r="D29" s="30" t="inlineStr">
        <is>
          <t>Recovery Filter</t>
        </is>
      </c>
      <c r="E29" s="30" t="inlineStr">
        <is>
          <t>Stock recovered 65.7% within 52-week range ($129 to $211); already past early recovery phase despite -52.7% from ATH</t>
        </is>
      </c>
      <c r="F29" s="30" t="inlineStr">
        <is>
          <t>Pullback to $160-170 range on production setback would create re-entry</t>
        </is>
      </c>
      <c r="G29" s="30" t="inlineStr"/>
    </row>
    <row r="30">
      <c r="A30" s="31" t="inlineStr">
        <is>
          <t>PFE</t>
        </is>
      </c>
      <c r="B30" s="32" t="inlineStr">
        <is>
          <t>Pfizer Inc.</t>
        </is>
      </c>
      <c r="C30" s="32" t="inlineStr">
        <is>
          <t>Healthcare</t>
        </is>
      </c>
      <c r="D30" s="32" t="inlineStr">
        <is>
          <t>Recovery + Balance Sheet</t>
        </is>
      </c>
      <c r="E30" s="32" t="inlineStr">
        <is>
          <t>92.5% recovered within 52w range (near 52w high $27.94); ND/EBITDA 3.95x exceeds 3.5x threshold</t>
        </is>
      </c>
      <c r="F30" s="32" t="inlineStr">
        <is>
          <t>Balance sheet deleveraging below 3.0x ND/EBITDA and meaningful pullback from current levels</t>
        </is>
      </c>
      <c r="G30" s="32" t="inlineStr"/>
    </row>
    <row r="31">
      <c r="A31" s="33" t="inlineStr">
        <is>
          <t>EL</t>
        </is>
      </c>
      <c r="B31" s="30" t="inlineStr">
        <is>
          <t>Estée Lauder Cos.</t>
        </is>
      </c>
      <c r="C31" s="30" t="inlineStr">
        <is>
          <t>Consumer Staples</t>
        </is>
      </c>
      <c r="D31" s="30" t="inlineStr">
        <is>
          <t>Balance Sheet</t>
        </is>
      </c>
      <c r="E31" s="30" t="inlineStr">
        <is>
          <t>ND/EBITDA 33.8x; near-zero EBITDA margin; interest coverage 2.4x; balance sheet cannot withstand downturn</t>
        </is>
      </c>
      <c r="F31" s="30" t="inlineStr">
        <is>
          <t>EBITDA recovery to $2B+ (from ~$200M current) would normalize leverage to &lt;3.5x</t>
        </is>
      </c>
      <c r="G31" s="30" t="inlineStr"/>
    </row>
    <row r="32">
      <c r="A32" s="33" t="inlineStr">
        <is>
          <t>KHC</t>
        </is>
      </c>
      <c r="B32" s="32" t="inlineStr">
        <is>
          <t>Kraft Heinz Co.</t>
        </is>
      </c>
      <c r="C32" s="32" t="inlineStr">
        <is>
          <t>Consumer Staples</t>
        </is>
      </c>
      <c r="D32" s="32" t="inlineStr">
        <is>
          <t>Balance Sheet</t>
        </is>
      </c>
      <c r="E32" s="32" t="inlineStr">
        <is>
          <t>Negative EBITDA in LTM period; negative interest coverage; value trap risk with persistent organic volume declines</t>
        </is>
      </c>
      <c r="F32" s="32" t="inlineStr">
        <is>
          <t>Return to positive EBITDA and demonstration of volume stabilization over 2+ quarters</t>
        </is>
      </c>
      <c r="G32" s="32" t="inlineStr"/>
    </row>
    <row r="33">
      <c r="A33" s="31" t="inlineStr">
        <is>
          <t>MRNA</t>
        </is>
      </c>
      <c r="B33" s="30" t="inlineStr">
        <is>
          <t>Moderna Inc.</t>
        </is>
      </c>
      <c r="C33" s="30" t="inlineStr">
        <is>
          <t>Healthcare</t>
        </is>
      </c>
      <c r="D33" s="30" t="inlineStr">
        <is>
          <t>Recovery + Fundamentals</t>
        </is>
      </c>
      <c r="E33" s="30" t="inlineStr">
        <is>
          <t>90.3% recovered within 52w range; negative EBITDA (-$2.5B); negative FCF; burning cash; speculative pipeline-dependent</t>
        </is>
      </c>
      <c r="F33" s="30" t="inlineStr">
        <is>
          <t>RSV/flu vaccine commercial traction creates path to sustained profitability</t>
        </is>
      </c>
      <c r="G33" s="30" t="inlineStr"/>
    </row>
    <row r="34">
      <c r="A34" s="31" t="inlineStr">
        <is>
          <t>BIIB</t>
        </is>
      </c>
      <c r="B34" s="32" t="inlineStr">
        <is>
          <t>Biogen Inc.</t>
        </is>
      </c>
      <c r="C34" s="32" t="inlineStr">
        <is>
          <t>Healthcare</t>
        </is>
      </c>
      <c r="D34" s="32" t="inlineStr">
        <is>
          <t>Recovery Filter</t>
        </is>
      </c>
      <c r="E34" s="32" t="inlineStr">
        <is>
          <t>82.5% recovered within 52w range ($110 to $186); strong balance sheet (ND/EBITDA 1.01x) but recovery largely done</t>
        </is>
      </c>
      <c r="F34" s="32" t="inlineStr">
        <is>
          <t>Pullback below $140 on pipeline setback would recreate the setup</t>
        </is>
      </c>
      <c r="G34" s="32" t="inlineStr"/>
    </row>
    <row r="35">
      <c r="A35" s="31" t="inlineStr">
        <is>
          <t>MRK</t>
        </is>
      </c>
      <c r="B35" s="30" t="inlineStr">
        <is>
          <t>Merck &amp; Co.</t>
        </is>
      </c>
      <c r="C35" s="30" t="inlineStr">
        <is>
          <t>Healthcare</t>
        </is>
      </c>
      <c r="D35" s="30" t="inlineStr">
        <is>
          <t>Selloff Threshold</t>
        </is>
      </c>
      <c r="E35" s="30" t="inlineStr">
        <is>
          <t>Only -7.0% from 52-week high; -13.2% from ATH; insufficient selloff to meet 30% threshold</t>
        </is>
      </c>
      <c r="F35" s="30" t="inlineStr">
        <is>
          <t>Keytruda patent cliff (2028) fears drive larger selloff to $85-90 range</t>
        </is>
      </c>
      <c r="G35" s="30" t="inlineStr"/>
    </row>
    <row r="36">
      <c r="A36" s="31" t="inlineStr">
        <is>
          <t>BMY</t>
        </is>
      </c>
      <c r="B36" s="32" t="inlineStr">
        <is>
          <t>Bristol-Myers Squibb</t>
        </is>
      </c>
      <c r="C36" s="32" t="inlineStr">
        <is>
          <t>Healthcare</t>
        </is>
      </c>
      <c r="D36" s="32" t="inlineStr">
        <is>
          <t>Selloff Threshold</t>
        </is>
      </c>
      <c r="E36" s="32" t="inlineStr">
        <is>
          <t>Only -3.5% from 52-week high; stock has recovered from LOE fears; insufficient selloff</t>
        </is>
      </c>
      <c r="F36" s="32" t="inlineStr">
        <is>
          <t>Reversal below $45 would recreate opportunity</t>
        </is>
      </c>
      <c r="G36" s="32" t="inlineStr"/>
    </row>
    <row r="37">
      <c r="A37" s="34" t="inlineStr">
        <is>
          <t>RTX</t>
        </is>
      </c>
      <c r="B37" s="30" t="inlineStr">
        <is>
          <t>RTX Corporation</t>
        </is>
      </c>
      <c r="C37" s="30" t="inlineStr">
        <is>
          <t>Defense / Aerospace</t>
        </is>
      </c>
      <c r="D37" s="30" t="inlineStr">
        <is>
          <t>Selloff Threshold</t>
        </is>
      </c>
      <c r="E37" s="30" t="inlineStr">
        <is>
          <t>Only -5.2% from 52-week high; defense stocks near all-time highs on geopolitical tailwinds</t>
        </is>
      </c>
      <c r="F37" s="30" t="inlineStr">
        <is>
          <t>Defense budget cut fears or contract cancellation drives selloff &gt;30%</t>
        </is>
      </c>
      <c r="G37" s="30" t="inlineStr"/>
    </row>
    <row r="38">
      <c r="A38" s="31" t="inlineStr">
        <is>
          <t>CVS</t>
        </is>
      </c>
      <c r="B38" s="32" t="inlineStr">
        <is>
          <t>CVS Health Corp.</t>
        </is>
      </c>
      <c r="C38" s="32" t="inlineStr">
        <is>
          <t>Healthcare</t>
        </is>
      </c>
      <c r="D38" s="32" t="inlineStr">
        <is>
          <t>Balance Sheet</t>
        </is>
      </c>
      <c r="E38" s="32" t="inlineStr">
        <is>
          <t>ND/EBITDA 8.41x far exceeds 3.5x threshold; massive debt from Aetna/Signify/Oak Street acquisitions</t>
        </is>
      </c>
      <c r="F38" s="32" t="inlineStr">
        <is>
          <t>Aggressive deleveraging below 4x ND/EBITDA; Oak Street/Signify turnaround proof</t>
        </is>
      </c>
      <c r="G38" s="32" t="inlineStr"/>
    </row>
    <row r="39">
      <c r="A39" s="33" t="inlineStr">
        <is>
          <t>DG</t>
        </is>
      </c>
      <c r="B39" s="30" t="inlineStr">
        <is>
          <t>Dollar General</t>
        </is>
      </c>
      <c r="C39" s="30" t="inlineStr">
        <is>
          <t>Consumer Staples</t>
        </is>
      </c>
      <c r="D39" s="30" t="inlineStr">
        <is>
          <t>Balance Sheet</t>
        </is>
      </c>
      <c r="E39" s="30" t="inlineStr">
        <is>
          <t>ND/EBITDA 4.49x exceeds 3.5x threshold; operational execution issues; store-level deterioration</t>
        </is>
      </c>
      <c r="F39" s="30" t="inlineStr">
        <is>
          <t>New management execution; deleveraging below 3.5x; same-store sales recovery</t>
        </is>
      </c>
      <c r="G39" s="30" t="inlineStr"/>
    </row>
  </sheetData>
  <mergeCells count="8">
    <mergeCell ref="A3:Q3"/>
    <mergeCell ref="A4:Q4"/>
    <mergeCell ref="A2:Q2"/>
    <mergeCell ref="A10:Q10"/>
    <mergeCell ref="A25:G25"/>
    <mergeCell ref="A19:Q19"/>
    <mergeCell ref="A1:Q1"/>
    <mergeCell ref="A13:Q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2"/>
  <sheetViews>
    <sheetView showGridLines="0" workbookViewId="0">
      <pane ySplit="3" topLeftCell="A4" activePane="bottomLeft" state="frozen"/>
      <selection pane="bottomLeft" activeCell="A1" sqref="A1"/>
    </sheetView>
  </sheetViews>
  <sheetFormatPr baseColWidth="8" defaultRowHeight="15"/>
  <cols>
    <col width="10" customWidth="1" min="1" max="1"/>
    <col width="20" customWidth="1" min="2" max="2"/>
    <col width="16" customWidth="1" min="3" max="3"/>
    <col width="16" customWidth="1" min="4" max="4"/>
    <col width="16" customWidth="1" min="5" max="5"/>
    <col width="16" customWidth="1" min="6" max="6"/>
    <col width="16" customWidth="1" min="7" max="7"/>
    <col width="16" customWidth="1" min="8" max="8"/>
    <col width="16" customWidth="1" min="9" max="9"/>
    <col width="12" customWidth="1" min="10" max="10"/>
    <col width="16" customWidth="1" min="11" max="11"/>
  </cols>
  <sheetData>
    <row r="1" ht="36" customHeight="1">
      <c r="A1" s="35" t="inlineStr">
        <is>
          <t>COMPOSITE SCORING MATRIX — 7 CRITERIA (v2 Post-Mortem Updated)</t>
        </is>
      </c>
    </row>
    <row r="2" ht="40" customHeight="1">
      <c r="A2" s="4" t="inlineStr">
        <is>
          <t>Ticker</t>
        </is>
      </c>
      <c r="B2" s="4" t="inlineStr">
        <is>
          <t>Sector</t>
        </is>
      </c>
      <c r="C2" s="4" t="inlineStr">
        <is>
          <t>Valuation
(w=25%)</t>
        </is>
      </c>
      <c r="D2" s="4" t="inlineStr">
        <is>
          <t>Balance Sheet
(w=20%)</t>
        </is>
      </c>
      <c r="E2" s="4" t="inlineStr">
        <is>
          <t>Catalyst Specificity
(w=20%)</t>
        </is>
      </c>
      <c r="F2" s="4" t="inlineStr">
        <is>
          <t>Selloff Quality
(w=15%)</t>
        </is>
      </c>
      <c r="G2" s="4" t="inlineStr">
        <is>
          <t>Competitive Moat Integrity
(w=10%)</t>
        </is>
      </c>
      <c r="H2" s="4" t="inlineStr">
        <is>
          <t>Macro Alignment
(w=10%)</t>
        </is>
      </c>
      <c r="I2" s="4" t="inlineStr">
        <is>
          <t>Analyst Conviction
(w=5%)</t>
        </is>
      </c>
      <c r="J2" s="4" t="inlineStr">
        <is>
          <t>Composite
Score</t>
        </is>
      </c>
      <c r="K2" s="4" t="inlineStr">
        <is>
          <t>Rec.</t>
        </is>
      </c>
    </row>
    <row r="3">
      <c r="A3" s="36" t="inlineStr">
        <is>
          <t>Scores: 0-10 per criterion  |  Blue = Hardcoded inputs  |  Black = Formulas  |  Weighted composite = sum of (score x weight)  |  DISQUALIFIED rows have red strikethrough</t>
        </is>
      </c>
    </row>
    <row r="4" ht="24" customHeight="1">
      <c r="A4" s="37" t="inlineStr">
        <is>
          <t>HEALTHCARE</t>
        </is>
      </c>
    </row>
    <row r="5">
      <c r="A5" s="38" t="inlineStr">
        <is>
          <t>BSX</t>
        </is>
      </c>
      <c r="B5" s="39" t="inlineStr">
        <is>
          <t>Healthcare</t>
        </is>
      </c>
      <c r="C5" s="40" t="n">
        <v>5.5</v>
      </c>
      <c r="D5" s="40" t="n">
        <v>7</v>
      </c>
      <c r="E5" s="40" t="n">
        <v>9.5</v>
      </c>
      <c r="F5" s="40" t="n">
        <v>9</v>
      </c>
      <c r="G5" s="40" t="n">
        <v>9</v>
      </c>
      <c r="H5" s="40" t="n">
        <v>8.5</v>
      </c>
      <c r="I5" s="40" t="n">
        <v>9.5</v>
      </c>
      <c r="J5" s="41">
        <f>C5*0.25+D5*0.2+E5*0.2+F5*0.15+G5*0.1+H5*0.1+I5*0.05</f>
        <v/>
      </c>
      <c r="K5" s="42">
        <f>IF(J5&gt;=8,"STRONG BUY",IF(J5&gt;=6.5,"BUY",IF(J5&gt;=5,"SPECULATIVE BUY","PASS")))</f>
        <v/>
      </c>
    </row>
    <row r="6" ht="50" customHeight="1">
      <c r="A6" s="43" t="inlineStr">
        <is>
          <t>Rationale:</t>
        </is>
      </c>
      <c r="C6" s="44" t="inlineStr">
        <is>
          <t>36.7x trailing P/E looks expensive but reflects 12%+ organic growth; EV/EBITDA 31x is rich; P/FCF 28.6x more reasonable for high-growth med-tech. Discount to own history on forward basis given growth acceleration.</t>
        </is>
      </c>
      <c r="D6" s="44" t="inlineStr">
        <is>
          <t>ND/EBITDA 2.78x; BBB credit; $3.7B FCF; adequate for continued investment; leverage trending down post-Penumbra acquisition. Interest coverage 11.4x is strong.</t>
        </is>
      </c>
      <c r="E6" s="44" t="inlineStr">
        <is>
          <t>CHAMPION-AF at ACC March 28, 2026 — named, dated, binary. If positive, expands PFA TAM from 5M to 20M patients. FARAPULSE already ~70% US PFA share. Penumbra acquisition same month as crash signals management confidence.</t>
        </is>
      </c>
      <c r="F6" s="44" t="inlineStr">
        <is>
          <t>Classic single-event overreaction. EP revenue grew 35% vs ~40% expected — revenue beat, EPS beat, FCF grew 38%. Market punished growth rate miss on high-multiple stock. Core franchise completely intact. 12%+ organic growth continued.</t>
        </is>
      </c>
      <c r="G6" s="44" t="inlineStr">
        <is>
          <t>WATCHMAN has 600K+ implants with 10-year track record, no competing device with meaningful installed base. Farawave has ~70% US PFA market share. Selloff had nothing to do with competitive threats. Moat is widening, not eroding.</t>
        </is>
      </c>
      <c r="H6" s="44" t="inlineStr">
        <is>
          <t>Medical devices are reimbursed by government/private insurance; demand is non-discretionary. Cardiac procedures accelerate with aging population. Tariff risk is the only macro headwind — manageable and likely exempted for medical devices.</t>
        </is>
      </c>
      <c r="I6" s="44" t="inlineStr">
        <is>
          <t>35 analysts, 0 sell ratings, mean target +49% above current price. Strong buy consensus maintained throughout selloff. Smart money unanimously sees this as an entry opportunity.</t>
        </is>
      </c>
    </row>
    <row r="7">
      <c r="A7" s="38" t="inlineStr">
        <is>
          <t>MDT</t>
        </is>
      </c>
      <c r="B7" s="39" t="inlineStr">
        <is>
          <t>Healthcare</t>
        </is>
      </c>
      <c r="C7" s="45" t="n">
        <v>6</v>
      </c>
      <c r="D7" s="45" t="n">
        <v>7.5</v>
      </c>
      <c r="E7" s="45" t="n">
        <v>6.5</v>
      </c>
      <c r="F7" s="45" t="n">
        <v>5.5</v>
      </c>
      <c r="G7" s="45" t="n">
        <v>7</v>
      </c>
      <c r="H7" s="45" t="n">
        <v>8</v>
      </c>
      <c r="I7" s="45" t="n">
        <v>7</v>
      </c>
      <c r="J7" s="41">
        <f>C7*0.25+D7*0.2+E7*0.2+F7*0.15+G7*0.1+H7*0.1+I7*0.05</f>
        <v/>
      </c>
      <c r="K7" s="42">
        <f>IF(J7&gt;=8,"STRONG BUY",IF(J7&gt;=6.5,"BUY",IF(J7&gt;=5,"SPECULATIVE BUY","PASS")))</f>
        <v/>
      </c>
    </row>
    <row r="8" ht="50" customHeight="1">
      <c r="A8" s="43" t="inlineStr">
        <is>
          <t>Rationale:</t>
        </is>
      </c>
      <c r="C8" s="44" t="inlineStr">
        <is>
          <t>15.6x fwd P/E vs 20x 5-yr avg; EV/EBITDA 14.4x below peer 18x; 3.2% dividend yield provides downside floor. Reasonable value but not screaming cheap — needs execution.</t>
        </is>
      </c>
      <c r="D8" s="44" t="inlineStr">
        <is>
          <t>ND/EBITDA 2.12x; A credit rating; $5.2B FCF; strong balance sheet with capacity for investment and M&amp;A. Interest coverage 8.2x. Can self-fund transformation.</t>
        </is>
      </c>
      <c r="E8" s="44" t="inlineStr">
        <is>
          <t>MiniMed spin targeted end-2026 (named, dated, structural value unlock). Elliott-driven Investor Day mid-2026 with Growth + Operating Committees. Catalysts are concrete but execution-dependent, not pure binary outcomes.</t>
        </is>
      </c>
      <c r="F8" s="44" t="inlineStr">
        <is>
          <t>Years of chronic underperformance BUT most recent quarter showed 6% organic growth (highest in 10 quarters). PFA running +80%, Symplicity reimbursement unlocked. Elliott engagement producing concrete board changes. Confirmed inflection, not just hope.</t>
        </is>
      </c>
      <c r="G8" s="44" t="inlineStr">
        <is>
          <t>Cardiac rhythm, TAVR, and neuromodulation hold dominant share with high switching costs. PFA is genuine new growth vector. Diabetes segment is the weak link (CGM competitive pressure) but being spun off. Core franchise intact.</t>
        </is>
      </c>
      <c r="H8" s="44" t="inlineStr">
        <is>
          <t>Medical devices are non-discretionary; hospital budgets recovering; aging population structural tailwind. MDT's diversified portfolio reduces cyclical risk. Government reimbursement provides demand floor.</t>
        </is>
      </c>
      <c r="I8" s="44" t="inlineStr">
        <is>
          <t>Goldman Sachs and JPMorgan recently UPGRADED (not just maintained). 19 buys, 12 holds, 0 sells. Analyst community sees the inflection — external validation of turnaround thesis.</t>
        </is>
      </c>
    </row>
    <row r="9"/>
    <row r="10" ht="24" customHeight="1">
      <c r="A10" s="46" t="inlineStr">
        <is>
          <t>INTERNATIONAL</t>
        </is>
      </c>
    </row>
    <row r="11">
      <c r="A11" s="47" t="inlineStr">
        <is>
          <t>NVO</t>
        </is>
      </c>
      <c r="B11" s="39" t="inlineStr">
        <is>
          <t>International</t>
        </is>
      </c>
      <c r="C11" s="40" t="n">
        <v>8.5</v>
      </c>
      <c r="D11" s="40" t="n">
        <v>8.5</v>
      </c>
      <c r="E11" s="40" t="n">
        <v>7</v>
      </c>
      <c r="F11" s="40" t="n">
        <v>5</v>
      </c>
      <c r="G11" s="40" t="n">
        <v>5</v>
      </c>
      <c r="H11" s="40" t="n">
        <v>7</v>
      </c>
      <c r="I11" s="40" t="n">
        <v>3.5</v>
      </c>
      <c r="J11" s="41">
        <f>C11*0.25+D11*0.2+E11*0.2+F11*0.15+G11*0.1+H11*0.1+I11*0.05</f>
        <v/>
      </c>
      <c r="K11" s="42">
        <f>IF(J11&gt;=8,"STRONG BUY",IF(J11&gt;=6.5,"BUY",IF(J11&gt;=5,"SPECULATIVE BUY","PASS")))</f>
        <v/>
      </c>
    </row>
    <row r="12" ht="50" customHeight="1">
      <c r="A12" s="43" t="inlineStr">
        <is>
          <t>Rationale:</t>
        </is>
      </c>
      <c r="C12" s="44" t="inlineStr">
        <is>
          <t>12.0x fwd P/E vs 37.5x 5-yr avg and 18.8x sector avg; 50% discount to peer EV/EBITDA; trough multiples not seen in a decade. Priced as declining pharma despite $8.6B FCF.</t>
        </is>
      </c>
      <c r="D12" s="44" t="inlineStr">
        <is>
          <t>ND/EBITDA 0.72x; AA- credit; $8.6B FCF; interest coverage &gt;14x; can self-fund recovery and M&amp;A. One of the strongest balance sheets in large-cap pharma.</t>
        </is>
      </c>
      <c r="E12" s="44" t="inlineStr">
        <is>
          <t>CagriSema FDA decision late 2026 (named, dated, binary); Medicare obesity coverage Jul 2026 (40M+ beneficiaries); oral Wegovy 170K patients in 4 weeks. Multiple catalysts but CagriSema outcome uncertain after REDEFINE 4 loss.</t>
        </is>
      </c>
      <c r="F12" s="44" t="inlineStr">
        <is>
          <t>Multiple compounding issues: REDEFINE 1 trial miss, 3 guidance cuts, REDEFINE 4 head-to-head loss vs tirzepatide, IRA pricing, EVOKE Alzheimer's failure. Not a single clean overreaction — chronic bad news accumulation. Fundamentals still strong but narrative is broken.</t>
        </is>
      </c>
      <c r="G12" s="44" t="inlineStr">
        <is>
          <t>LLY structurally gaining GLP-1 share (60% vs NVO's 40%), clinically superior (25.5% vs 23.0% weight loss). Competitor share loss penalty applied (-1.5pts). NVO retains advantages: first oral obesity pill, CKD label, broader pipeline diversity.</t>
        </is>
      </c>
      <c r="H12" s="44" t="inlineStr">
        <is>
          <t>Pharma is defensive in credit stress scenarios; GLP-1 demand is secular and growing. However IRA pricing creates government rate risk (Ozempic negotiated to $277 from $650). Medicare obesity coverage is a tailwind. Net positive but IRA offsets.</t>
        </is>
      </c>
      <c r="I12" s="44" t="inlineStr">
        <is>
          <t>Only 2/11 buy-rated; 7 holds, 2 sells; consensus cautious; wave of downgrades from TD Cowen, Goldman, Deutsche Bank. Smart money has given up — contrarian signal but also red flag.</t>
        </is>
      </c>
    </row>
  </sheetData>
  <mergeCells count="4">
    <mergeCell ref="A3:K3"/>
    <mergeCell ref="A1:K1"/>
    <mergeCell ref="A4:K4"/>
    <mergeCell ref="A10:K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
  <sheetViews>
    <sheetView showGridLines="0" workbookViewId="0">
      <pane ySplit="2" topLeftCell="A3" activePane="bottomLeft" state="frozen"/>
      <selection pane="bottomLeft" activeCell="A1" sqref="A1"/>
    </sheetView>
  </sheetViews>
  <sheetFormatPr baseColWidth="8" defaultRowHeight="15"/>
  <cols>
    <col width="10" customWidth="1" min="1" max="1"/>
    <col width="20" customWidth="1" min="2" max="2"/>
    <col width="10" customWidth="1" min="3" max="3"/>
    <col width="8" customWidth="1" min="4" max="4"/>
    <col width="12" customWidth="1" min="5" max="5"/>
    <col width="12" customWidth="1" min="6" max="6"/>
    <col width="12" customWidth="1" min="7" max="7"/>
    <col width="10" customWidth="1" min="8" max="8"/>
    <col width="14" customWidth="1" min="9" max="9"/>
    <col width="14" customWidth="1" min="10" max="10"/>
    <col width="8" customWidth="1" min="11" max="11"/>
    <col width="8" customWidth="1" min="12" max="12"/>
    <col width="10" customWidth="1" min="13" max="13"/>
    <col width="10" customWidth="1" min="14" max="14"/>
    <col width="10" customWidth="1" min="15" max="15"/>
    <col width="14" customWidth="1" min="16" max="16"/>
    <col width="12" customWidth="1" min="17" max="17"/>
  </cols>
  <sheetData>
    <row r="1" ht="36" customHeight="1">
      <c r="A1" s="35" t="inlineStr">
        <is>
          <t>VALUATION ANALYSIS &amp; COMPARABLE COMPANIES</t>
        </is>
      </c>
    </row>
    <row r="2" ht="40" customHeight="1">
      <c r="A2" s="4" t="inlineStr">
        <is>
          <t>Ticker</t>
        </is>
      </c>
      <c r="B2" s="4" t="inlineStr">
        <is>
          <t>Sector</t>
        </is>
      </c>
      <c r="C2" s="4" t="inlineStr">
        <is>
          <t>Price</t>
        </is>
      </c>
      <c r="D2" s="4" t="inlineStr">
        <is>
          <t>Fwd P/E</t>
        </is>
      </c>
      <c r="E2" s="4" t="inlineStr">
        <is>
          <t>Sector Avg P/E</t>
        </is>
      </c>
      <c r="F2" s="4" t="inlineStr">
        <is>
          <t>5-Yr Hist P/E</t>
        </is>
      </c>
      <c r="G2" s="4" t="inlineStr">
        <is>
          <t>P/E vs. Hist (%)</t>
        </is>
      </c>
      <c r="H2" s="4" t="inlineStr">
        <is>
          <t>EV/EBITDA</t>
        </is>
      </c>
      <c r="I2" s="4" t="inlineStr">
        <is>
          <t>Peer Avg EV/EBITDA</t>
        </is>
      </c>
      <c r="J2" s="4" t="inlineStr">
        <is>
          <t>EV/EBITDA vs. Peers (%)</t>
        </is>
      </c>
      <c r="K2" s="4" t="inlineStr">
        <is>
          <t>P/FCF</t>
        </is>
      </c>
      <c r="L2" s="4" t="inlineStr">
        <is>
          <t>EV/Sales</t>
        </is>
      </c>
      <c r="M2" s="4" t="inlineStr">
        <is>
          <t>Bear Target</t>
        </is>
      </c>
      <c r="N2" s="4" t="inlineStr">
        <is>
          <t>Base Target</t>
        </is>
      </c>
      <c r="O2" s="4" t="inlineStr">
        <is>
          <t>Bull Target</t>
        </is>
      </c>
      <c r="P2" s="4" t="inlineStr">
        <is>
          <t>Analyst Avg Target</t>
        </is>
      </c>
      <c r="Q2" s="4" t="inlineStr">
        <is>
          <t>Implied Upside</t>
        </is>
      </c>
    </row>
    <row r="3" ht="18" customHeight="1">
      <c r="A3" s="6" t="inlineStr">
        <is>
          <t>BSX</t>
        </is>
      </c>
      <c r="B3" s="7" t="inlineStr">
        <is>
          <t>Healthcare</t>
        </is>
      </c>
      <c r="C3" s="8" t="n">
        <v>71.20999999999999</v>
      </c>
      <c r="D3" s="48" t="n">
        <v>38.5</v>
      </c>
      <c r="E3" s="48" t="n">
        <v>25</v>
      </c>
      <c r="F3" s="48" t="n">
        <v>30</v>
      </c>
      <c r="G3" s="12">
        <f>(D3-F3)/F3</f>
        <v/>
      </c>
      <c r="H3" s="48" t="n">
        <v>31.1</v>
      </c>
      <c r="I3" s="48" t="n">
        <v>18</v>
      </c>
      <c r="J3" s="12">
        <f>(H3-I3)/I3</f>
        <v/>
      </c>
      <c r="K3" s="48" t="n">
        <v>28.6</v>
      </c>
      <c r="L3" s="48" t="n">
        <v>5.8</v>
      </c>
      <c r="M3" s="8" t="n">
        <v>60</v>
      </c>
      <c r="N3" s="8" t="n">
        <v>100</v>
      </c>
      <c r="O3" s="8" t="n">
        <v>130</v>
      </c>
      <c r="P3" s="8" t="n">
        <v>105</v>
      </c>
      <c r="Q3" s="12">
        <f>(P3-C3)/C3</f>
        <v/>
      </c>
    </row>
    <row r="4" ht="18" customHeight="1">
      <c r="A4" s="14" t="inlineStr">
        <is>
          <t>NVO</t>
        </is>
      </c>
      <c r="B4" s="15" t="inlineStr">
        <is>
          <t>International</t>
        </is>
      </c>
      <c r="C4" s="16" t="n">
        <v>38.52</v>
      </c>
      <c r="D4" s="49" t="n">
        <v>12</v>
      </c>
      <c r="E4" s="49" t="n">
        <v>18.8</v>
      </c>
      <c r="F4" s="49" t="n">
        <v>37.5</v>
      </c>
      <c r="G4" s="20">
        <f>(D4-F4)/F4</f>
        <v/>
      </c>
      <c r="H4" s="49" t="n">
        <v>8.9</v>
      </c>
      <c r="I4" s="49" t="n">
        <v>17</v>
      </c>
      <c r="J4" s="20">
        <f>(H4-I4)/I4</f>
        <v/>
      </c>
      <c r="K4" s="49" t="n">
        <v>20</v>
      </c>
      <c r="L4" s="49" t="n">
        <v>3.8</v>
      </c>
      <c r="M4" s="16" t="n">
        <v>30</v>
      </c>
      <c r="N4" s="16" t="n">
        <v>50</v>
      </c>
      <c r="O4" s="16" t="n">
        <v>70</v>
      </c>
      <c r="P4" s="16" t="n">
        <v>51</v>
      </c>
      <c r="Q4" s="20">
        <f>(P4-C4)/C4</f>
        <v/>
      </c>
    </row>
    <row r="5" ht="18" customHeight="1">
      <c r="A5" s="6" t="inlineStr">
        <is>
          <t>MDT</t>
        </is>
      </c>
      <c r="B5" s="7" t="inlineStr">
        <is>
          <t>Healthcare</t>
        </is>
      </c>
      <c r="C5" s="8" t="n">
        <v>88.31999999999999</v>
      </c>
      <c r="D5" s="48" t="n">
        <v>15.6</v>
      </c>
      <c r="E5" s="48" t="n">
        <v>25</v>
      </c>
      <c r="F5" s="48" t="n">
        <v>20</v>
      </c>
      <c r="G5" s="12">
        <f>(D5-F5)/F5</f>
        <v/>
      </c>
      <c r="H5" s="48" t="n">
        <v>14.4</v>
      </c>
      <c r="I5" s="48" t="n">
        <v>18</v>
      </c>
      <c r="J5" s="12">
        <f>(H5-I5)/I5</f>
        <v/>
      </c>
      <c r="K5" s="48" t="n">
        <v>21.8</v>
      </c>
      <c r="L5" s="48" t="n">
        <v>4</v>
      </c>
      <c r="M5" s="8" t="n">
        <v>75</v>
      </c>
      <c r="N5" s="8" t="n">
        <v>110</v>
      </c>
      <c r="O5" s="8" t="n">
        <v>135</v>
      </c>
      <c r="P5" s="8" t="n">
        <v>105</v>
      </c>
      <c r="Q5" s="12">
        <f>(P5-C5)/C5</f>
        <v/>
      </c>
    </row>
  </sheetData>
  <mergeCells count="1">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5"/>
  <sheetViews>
    <sheetView showGridLines="0" workbookViewId="0">
      <pane ySplit="2" topLeftCell="A3" activePane="bottomLeft" state="frozen"/>
      <selection pane="bottomLeft" activeCell="A1" sqref="A1"/>
    </sheetView>
  </sheetViews>
  <sheetFormatPr baseColWidth="8" defaultRowHeight="15"/>
  <cols>
    <col width="10" customWidth="1" min="1" max="1"/>
    <col width="28" customWidth="1" min="2" max="2"/>
    <col width="20" customWidth="1" min="3" max="3"/>
    <col width="10" customWidth="1" min="4" max="4"/>
    <col width="8" customWidth="1" min="5" max="5"/>
    <col width="10" customWidth="1" min="6" max="6"/>
    <col width="10" customWidth="1" min="7" max="7"/>
    <col width="10" customWidth="1" min="8" max="8"/>
    <col width="10" customWidth="1" min="9" max="9"/>
    <col width="8" customWidth="1" min="10" max="10"/>
    <col width="8" customWidth="1" min="11" max="11"/>
    <col width="10" customWidth="1" min="12" max="12"/>
    <col width="14"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s>
  <sheetData>
    <row r="1" ht="36" customHeight="1">
      <c r="A1" s="35" t="inlineStr">
        <is>
          <t>FUNDAMENTAL DATA — INCOME STATEMENT, BALANCE SHEET &amp; CASH FLOW SUMMARY</t>
        </is>
      </c>
    </row>
    <row r="2" ht="40" customHeight="1">
      <c r="A2" s="4" t="inlineStr">
        <is>
          <t>Ticker</t>
        </is>
      </c>
      <c r="B2" s="4" t="inlineStr">
        <is>
          <t>Company</t>
        </is>
      </c>
      <c r="C2" s="4" t="inlineStr">
        <is>
          <t>Sector</t>
        </is>
      </c>
      <c r="D2" s="4" t="inlineStr">
        <is>
          <t>Mkt Cap ($B)</t>
        </is>
      </c>
      <c r="E2" s="4" t="inlineStr">
        <is>
          <t>EV ($B)</t>
        </is>
      </c>
      <c r="F2" s="4" t="inlineStr">
        <is>
          <t>Rev LTM ($B)</t>
        </is>
      </c>
      <c r="G2" s="4" t="inlineStr">
        <is>
          <t>Rev NTM ($B)</t>
        </is>
      </c>
      <c r="H2" s="4" t="inlineStr">
        <is>
          <t>Rev Growth (%)</t>
        </is>
      </c>
      <c r="I2" s="4" t="inlineStr">
        <is>
          <t>EBITDA Mgn (%)</t>
        </is>
      </c>
      <c r="J2" s="4" t="inlineStr">
        <is>
          <t>EPS LTM</t>
        </is>
      </c>
      <c r="K2" s="4" t="inlineStr">
        <is>
          <t>EPS NTM</t>
        </is>
      </c>
      <c r="L2" s="4" t="inlineStr">
        <is>
          <t>EPS 3Y CAGR (%)</t>
        </is>
      </c>
      <c r="M2" s="4" t="inlineStr">
        <is>
          <t>Net Cash/(Debt) ($B)</t>
        </is>
      </c>
      <c r="N2" s="4" t="inlineStr">
        <is>
          <t>ND/EBITDA</t>
        </is>
      </c>
      <c r="O2" s="4" t="inlineStr">
        <is>
          <t>Interest Cov.</t>
        </is>
      </c>
      <c r="P2" s="4" t="inlineStr">
        <is>
          <t>Credit Rating</t>
        </is>
      </c>
      <c r="Q2" s="4" t="inlineStr">
        <is>
          <t>FCF LTM ($B)</t>
        </is>
      </c>
      <c r="R2" s="4" t="inlineStr">
        <is>
          <t>FCF Yield (%)</t>
        </is>
      </c>
      <c r="S2" s="4" t="inlineStr">
        <is>
          <t>Capex/Rev (%)</t>
        </is>
      </c>
      <c r="T2" s="4" t="inlineStr">
        <is>
          <t>Div Yield (%)</t>
        </is>
      </c>
    </row>
    <row r="3" ht="18" customHeight="1">
      <c r="A3" s="6" t="inlineStr">
        <is>
          <t>BSX</t>
        </is>
      </c>
      <c r="B3" s="7" t="inlineStr">
        <is>
          <t>Boston Scientific Corp.</t>
        </is>
      </c>
      <c r="C3" s="7" t="inlineStr">
        <is>
          <t>Healthcare</t>
        </is>
      </c>
      <c r="D3" s="50" t="n">
        <v>105.7</v>
      </c>
      <c r="E3" s="50" t="n">
        <v>116.1</v>
      </c>
      <c r="F3" s="50" t="n">
        <v>20.1</v>
      </c>
      <c r="G3" s="50" t="n">
        <v>22.5</v>
      </c>
      <c r="H3" s="12">
        <f>(G3-F3)/F3</f>
        <v/>
      </c>
      <c r="I3" s="9" t="n">
        <v>0.184</v>
      </c>
      <c r="J3" s="8" t="n">
        <v>1.94</v>
      </c>
      <c r="K3" s="8" t="n">
        <v>1.85</v>
      </c>
      <c r="L3" s="9" t="n">
        <v>0.15</v>
      </c>
      <c r="M3" s="51" t="n">
        <v>-10.4</v>
      </c>
      <c r="N3" s="48" t="n">
        <v>2.78</v>
      </c>
      <c r="O3" s="48" t="n">
        <v>11.4</v>
      </c>
      <c r="P3" s="52" t="inlineStr">
        <is>
          <t>BBB</t>
        </is>
      </c>
      <c r="Q3" s="50" t="n">
        <v>3.7</v>
      </c>
      <c r="R3" s="12">
        <f>Q3/D3</f>
        <v/>
      </c>
      <c r="S3" s="9" t="n">
        <v>0.04</v>
      </c>
      <c r="T3" s="9" t="n">
        <v>0</v>
      </c>
    </row>
    <row r="4" ht="18" customHeight="1">
      <c r="A4" s="14" t="inlineStr">
        <is>
          <t>NVO</t>
        </is>
      </c>
      <c r="B4" s="15" t="inlineStr">
        <is>
          <t>Novo Nordisk A/S</t>
        </is>
      </c>
      <c r="C4" s="15" t="inlineStr">
        <is>
          <t>International</t>
        </is>
      </c>
      <c r="D4" s="53" t="n">
        <v>171.2</v>
      </c>
      <c r="E4" s="53" t="n">
        <v>186.5</v>
      </c>
      <c r="F4" s="53" t="n">
        <v>48.6</v>
      </c>
      <c r="G4" s="53" t="n">
        <v>43.4</v>
      </c>
      <c r="H4" s="20">
        <f>(G4-F4)/F4</f>
        <v/>
      </c>
      <c r="I4" s="17" t="n">
        <v>0.484</v>
      </c>
      <c r="J4" s="16" t="n">
        <v>3.54</v>
      </c>
      <c r="K4" s="16" t="n">
        <v>3.15</v>
      </c>
      <c r="L4" s="17" t="n">
        <v>0.127</v>
      </c>
      <c r="M4" s="54" t="n">
        <v>-14.5</v>
      </c>
      <c r="N4" s="49" t="n">
        <v>0.72</v>
      </c>
      <c r="O4" s="49" t="n">
        <v>19.9</v>
      </c>
      <c r="P4" s="55" t="inlineStr">
        <is>
          <t>AA-</t>
        </is>
      </c>
      <c r="Q4" s="53" t="n">
        <v>8.6</v>
      </c>
      <c r="R4" s="20">
        <f>Q4/D4</f>
        <v/>
      </c>
      <c r="S4" s="17" t="n">
        <v>0.194</v>
      </c>
      <c r="T4" s="17" t="n">
        <v>0.032</v>
      </c>
    </row>
    <row r="5" ht="18" customHeight="1">
      <c r="A5" s="6" t="inlineStr">
        <is>
          <t>MDT</t>
        </is>
      </c>
      <c r="B5" s="7" t="inlineStr">
        <is>
          <t>Medtronic plc</t>
        </is>
      </c>
      <c r="C5" s="7" t="inlineStr">
        <is>
          <t>Healthcare</t>
        </is>
      </c>
      <c r="D5" s="50" t="n">
        <v>113.4</v>
      </c>
      <c r="E5" s="50" t="n">
        <v>133</v>
      </c>
      <c r="F5" s="50" t="n">
        <v>33.5</v>
      </c>
      <c r="G5" s="50" t="n">
        <v>34.5</v>
      </c>
      <c r="H5" s="12">
        <f>(G5-F5)/F5</f>
        <v/>
      </c>
      <c r="I5" s="9" t="n">
        <v>0.275</v>
      </c>
      <c r="J5" s="8" t="n">
        <v>3.61</v>
      </c>
      <c r="K5" s="8" t="n">
        <v>5.66</v>
      </c>
      <c r="L5" s="9" t="n">
        <v>0.04</v>
      </c>
      <c r="M5" s="51" t="n">
        <v>-19.6</v>
      </c>
      <c r="N5" s="48" t="n">
        <v>2.12</v>
      </c>
      <c r="O5" s="48" t="n">
        <v>8.199999999999999</v>
      </c>
      <c r="P5" s="52" t="inlineStr">
        <is>
          <t>A</t>
        </is>
      </c>
      <c r="Q5" s="50" t="n">
        <v>5.2</v>
      </c>
      <c r="R5" s="12">
        <f>Q5/D5</f>
        <v/>
      </c>
      <c r="S5" s="9" t="n">
        <v>0.053</v>
      </c>
      <c r="T5" s="9" t="n">
        <v>0.032</v>
      </c>
    </row>
  </sheetData>
  <mergeCells count="1">
    <mergeCell ref="A1:T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
  <sheetViews>
    <sheetView showGridLines="0" workbookViewId="0">
      <pane ySplit="2" topLeftCell="A3" activePane="bottomLeft" state="frozen"/>
      <selection pane="bottomLeft" activeCell="A1" sqref="A1"/>
    </sheetView>
  </sheetViews>
  <sheetFormatPr baseColWidth="8" defaultRowHeight="15"/>
  <cols>
    <col width="10" customWidth="1" min="1" max="1"/>
    <col width="45" customWidth="1" min="2" max="2"/>
    <col width="14" customWidth="1" min="3" max="3"/>
    <col width="11" customWidth="1" min="4" max="4"/>
    <col width="12" customWidth="1" min="5" max="5"/>
    <col width="12" customWidth="1" min="6" max="6"/>
    <col width="14" customWidth="1" min="7" max="7"/>
    <col width="35" customWidth="1" min="8" max="8"/>
  </cols>
  <sheetData>
    <row r="1" ht="36" customHeight="1">
      <c r="A1" s="35" t="inlineStr">
        <is>
          <t>CATALYST TRACKER — UPCOMING EVENTS &amp; PRICE IMPACT ESTIMATES</t>
        </is>
      </c>
    </row>
    <row r="2" ht="30" customHeight="1">
      <c r="A2" s="4" t="inlineStr">
        <is>
          <t>Ticker</t>
        </is>
      </c>
      <c r="B2" s="4" t="inlineStr">
        <is>
          <t>Catalyst Description</t>
        </is>
      </c>
      <c r="C2" s="4" t="inlineStr">
        <is>
          <t>Timeline</t>
        </is>
      </c>
      <c r="D2" s="4" t="inlineStr">
        <is>
          <t>Probability</t>
        </is>
      </c>
      <c r="E2" s="4" t="inlineStr">
        <is>
          <t>Impact if Hit (%)</t>
        </is>
      </c>
      <c r="F2" s="4" t="inlineStr">
        <is>
          <t>Impact if Miss (%)</t>
        </is>
      </c>
      <c r="G2" s="4" t="inlineStr">
        <is>
          <t>Expected Impact (%)</t>
        </is>
      </c>
      <c r="H2" s="4" t="inlineStr">
        <is>
          <t>Monitor Signal</t>
        </is>
      </c>
    </row>
    <row r="3" ht="20" customHeight="1">
      <c r="A3" s="52" t="inlineStr">
        <is>
          <t>BSX</t>
        </is>
      </c>
      <c r="B3" s="7" t="inlineStr">
        <is>
          <t>CHAMPION-AF trial readout at ACC — PFA vs RF ablation head-to-head</t>
        </is>
      </c>
      <c r="C3" s="52" t="inlineStr">
        <is>
          <t>March 28, 2026</t>
        </is>
      </c>
      <c r="D3" s="56" t="n">
        <v>0.75</v>
      </c>
      <c r="E3" s="9" t="n">
        <v>0.25</v>
      </c>
      <c r="F3" s="9" t="n">
        <v>-0.15</v>
      </c>
      <c r="G3" s="12">
        <f>D3*E3+(1-D3)*F3</f>
        <v/>
      </c>
      <c r="H3" s="7" t="inlineStr">
        <is>
          <t>ACC conference presentations; CHAMPION-AF enrollment completion</t>
        </is>
      </c>
    </row>
    <row r="4" ht="20" customHeight="1">
      <c r="A4" s="55" t="inlineStr"/>
      <c r="B4" s="15" t="inlineStr">
        <is>
          <t>FARAPULSE pulsed field ablation global adoption acceleration — TAM expansion from 5M to 20M patients</t>
        </is>
      </c>
      <c r="C4" s="55" t="inlineStr">
        <is>
          <t>Ongoing through 2026-2027</t>
        </is>
      </c>
      <c r="D4" s="57" t="n">
        <v>0.75</v>
      </c>
      <c r="E4" s="17" t="n">
        <v>0.2</v>
      </c>
      <c r="F4" s="17" t="n">
        <v>-0.08</v>
      </c>
      <c r="G4" s="20">
        <f>D4*E4+(1-D4)*F4</f>
        <v/>
      </c>
      <c r="H4" s="15" t="inlineStr">
        <is>
          <t>EP procedure volumes; FARAPULSE market share; quarterly EP revenue growth</t>
        </is>
      </c>
    </row>
    <row r="5" ht="20" customHeight="1">
      <c r="A5" s="52" t="inlineStr"/>
      <c r="B5" s="7" t="inlineStr">
        <is>
          <t>Penumbra neurovascular integration — acquired same month as crash, signals management confidence</t>
        </is>
      </c>
      <c r="C5" s="52" t="inlineStr">
        <is>
          <t>H2 2026</t>
        </is>
      </c>
      <c r="D5" s="56" t="n">
        <v>0.65</v>
      </c>
      <c r="E5" s="9" t="n">
        <v>0.1</v>
      </c>
      <c r="F5" s="9" t="n">
        <v>-0.05</v>
      </c>
      <c r="G5" s="12">
        <f>D5*E5+(1-D5)*F5</f>
        <v/>
      </c>
      <c r="H5" s="7" t="inlineStr">
        <is>
          <t>Integration milestones; cross-selling metrics; revenue synergy tracking</t>
        </is>
      </c>
    </row>
    <row r="6" ht="20" customHeight="1">
      <c r="A6" s="55" t="inlineStr"/>
      <c r="B6" s="15" t="inlineStr">
        <is>
          <t>Tariff resolution / exemption for medical devices</t>
        </is>
      </c>
      <c r="C6" s="55" t="inlineStr">
        <is>
          <t>Q2-Q3 2026</t>
        </is>
      </c>
      <c r="D6" s="57" t="n">
        <v>0.5</v>
      </c>
      <c r="E6" s="17" t="n">
        <v>0.15</v>
      </c>
      <c r="F6" s="17" t="n">
        <v>-0.1</v>
      </c>
      <c r="G6" s="20">
        <f>D6*E6+(1-D6)*F6</f>
        <v/>
      </c>
      <c r="H6" s="15" t="inlineStr">
        <is>
          <t>Trade policy announcements; medical device tariff exemption lobbying results</t>
        </is>
      </c>
    </row>
    <row r="7" ht="20" customHeight="1">
      <c r="A7" s="52" t="inlineStr"/>
      <c r="B7" s="7" t="inlineStr">
        <is>
          <t>Continued 12%+ organic revenue growth above med-tech peers</t>
        </is>
      </c>
      <c r="C7" s="52" t="inlineStr">
        <is>
          <t>Quarterly earnings</t>
        </is>
      </c>
      <c r="D7" s="56" t="n">
        <v>0.65</v>
      </c>
      <c r="E7" s="9" t="n">
        <v>0.1</v>
      </c>
      <c r="F7" s="9" t="n">
        <v>-0.08</v>
      </c>
      <c r="G7" s="12">
        <f>D7*E7+(1-D7)*F7</f>
        <v/>
      </c>
      <c r="H7" s="7" t="inlineStr">
        <is>
          <t>Quarterly organic growth rates; management guidance updates</t>
        </is>
      </c>
    </row>
    <row r="8"/>
    <row r="9" ht="20" customHeight="1">
      <c r="A9" s="52" t="inlineStr">
        <is>
          <t>NVO</t>
        </is>
      </c>
      <c r="B9" s="7" t="inlineStr">
        <is>
          <t>CagriSema FDA approval decision (NDA filed Dec 2025)</t>
        </is>
      </c>
      <c r="C9" s="52" t="inlineStr">
        <is>
          <t>Q4 2026</t>
        </is>
      </c>
      <c r="D9" s="56" t="n">
        <v>0.65</v>
      </c>
      <c r="E9" s="9" t="n">
        <v>0.25</v>
      </c>
      <c r="F9" s="9" t="n">
        <v>-0.15</v>
      </c>
      <c r="G9" s="12">
        <f>D9*E9+(1-D9)*F9</f>
        <v/>
      </c>
      <c r="H9" s="7" t="inlineStr">
        <is>
          <t>FDA advisory committee date; PDUFA date announcement</t>
        </is>
      </c>
    </row>
    <row r="10" ht="20" customHeight="1">
      <c r="A10" s="55" t="inlineStr"/>
      <c r="B10" s="15" t="inlineStr">
        <is>
          <t>Medicare obesity drug coverage begins (40M+ new beneficiaries)</t>
        </is>
      </c>
      <c r="C10" s="55" t="inlineStr">
        <is>
          <t>Jul 2026</t>
        </is>
      </c>
      <c r="D10" s="57" t="n">
        <v>0.85</v>
      </c>
      <c r="E10" s="17" t="n">
        <v>0.2</v>
      </c>
      <c r="F10" s="17" t="n">
        <v>-0.1</v>
      </c>
      <c r="G10" s="20">
        <f>D10*E10+(1-D10)*F10</f>
        <v/>
      </c>
      <c r="H10" s="15" t="inlineStr">
        <is>
          <t>CMS implementation; formulary inclusion; patient enrollment data</t>
        </is>
      </c>
    </row>
    <row r="11" ht="20" customHeight="1">
      <c r="A11" s="52" t="inlineStr"/>
      <c r="B11" s="7" t="inlineStr">
        <is>
          <t>Oral Wegovy commercial ramp exceeds expectations (170K patients in 4 weeks)</t>
        </is>
      </c>
      <c r="C11" s="52" t="inlineStr">
        <is>
          <t>Q2-Q3 2026</t>
        </is>
      </c>
      <c r="D11" s="56" t="n">
        <v>0.55</v>
      </c>
      <c r="E11" s="9" t="n">
        <v>0.15</v>
      </c>
      <c r="F11" s="9" t="n">
        <v>-0.05</v>
      </c>
      <c r="G11" s="12">
        <f>D11*E11+(1-D11)*F11</f>
        <v/>
      </c>
      <c r="H11" s="7" t="inlineStr">
        <is>
          <t>Weekly prescription data; quarterly revenue disclosures</t>
        </is>
      </c>
    </row>
    <row r="12" ht="20" customHeight="1">
      <c r="A12" s="55" t="inlineStr"/>
      <c r="B12" s="15" t="inlineStr">
        <is>
          <t>Amycretin (Zenagamtide) Phase 3 AMAZE interim data</t>
        </is>
      </c>
      <c r="C12" s="55" t="inlineStr">
        <is>
          <t>H2 2026 - H1 2027</t>
        </is>
      </c>
      <c r="D12" s="57" t="n">
        <v>0.5</v>
      </c>
      <c r="E12" s="17" t="n">
        <v>0.3</v>
      </c>
      <c r="F12" s="17" t="n">
        <v>-0.1</v>
      </c>
      <c r="G12" s="20">
        <f>D12*E12+(1-D12)*F12</f>
        <v/>
      </c>
      <c r="H12" s="15" t="inlineStr">
        <is>
          <t>Trial enrollment; interim efficacy signals; conference presentations</t>
        </is>
      </c>
    </row>
    <row r="13" ht="20" customHeight="1">
      <c r="A13" s="52" t="inlineStr"/>
      <c r="B13" s="7" t="inlineStr">
        <is>
          <t>CagriSema higher-dose (2.4/7.2mg) Phase 3 initiation</t>
        </is>
      </c>
      <c r="C13" s="52" t="inlineStr">
        <is>
          <t>H2 2026</t>
        </is>
      </c>
      <c r="D13" s="56" t="n">
        <v>0.7</v>
      </c>
      <c r="E13" s="9" t="n">
        <v>0.1</v>
      </c>
      <c r="F13" s="9" t="n">
        <v>-0.03</v>
      </c>
      <c r="G13" s="12">
        <f>D13*E13+(1-D13)*F13</f>
        <v/>
      </c>
      <c r="H13" s="7" t="inlineStr">
        <is>
          <t>Trial registration on clinicaltrials.gov; company announcements</t>
        </is>
      </c>
    </row>
    <row r="14"/>
    <row r="15" ht="20" customHeight="1">
      <c r="A15" s="52" t="inlineStr">
        <is>
          <t>MDT</t>
        </is>
      </c>
      <c r="B15" s="7" t="inlineStr">
        <is>
          <t>MiniMed diabetes business spin-off — structural value unlock separating growth from drag</t>
        </is>
      </c>
      <c r="C15" s="52" t="inlineStr">
        <is>
          <t>End 2026</t>
        </is>
      </c>
      <c r="D15" s="56" t="n">
        <v>0.7</v>
      </c>
      <c r="E15" s="9" t="n">
        <v>0.2</v>
      </c>
      <c r="F15" s="9" t="n">
        <v>-0.05</v>
      </c>
      <c r="G15" s="12">
        <f>D15*E15+(1-D15)*F15</f>
        <v/>
      </c>
      <c r="H15" s="7" t="inlineStr">
        <is>
          <t>SEC filings; separation agreement; management commentary on timeline</t>
        </is>
      </c>
    </row>
    <row r="16" ht="20" customHeight="1">
      <c r="A16" s="55" t="inlineStr"/>
      <c r="B16" s="15" t="inlineStr">
        <is>
          <t>Elliott-driven Investor Day with Growth + Operating Committee updates</t>
        </is>
      </c>
      <c r="C16" s="55" t="inlineStr">
        <is>
          <t>Mid 2026</t>
        </is>
      </c>
      <c r="D16" s="57" t="n">
        <v>0.8</v>
      </c>
      <c r="E16" s="17" t="n">
        <v>0.1</v>
      </c>
      <c r="F16" s="17" t="n">
        <v>-0.03</v>
      </c>
      <c r="G16" s="20">
        <f>D16*E16+(1-D16)*F16</f>
        <v/>
      </c>
      <c r="H16" s="15" t="inlineStr">
        <is>
          <t>Investor Day date announcement; board committee actions; ex-Stryker CFO contributions</t>
        </is>
      </c>
    </row>
    <row r="17" ht="20" customHeight="1">
      <c r="A17" s="52" t="inlineStr"/>
      <c r="B17" s="7" t="inlineStr">
        <is>
          <t>PFA (pulsed field ablation) continued +80% growth trajectory</t>
        </is>
      </c>
      <c r="C17" s="52" t="inlineStr">
        <is>
          <t>Quarterly earnings 2026</t>
        </is>
      </c>
      <c r="D17" s="56" t="n">
        <v>0.65</v>
      </c>
      <c r="E17" s="9" t="n">
        <v>0.12</v>
      </c>
      <c r="F17" s="9" t="n">
        <v>-0.05</v>
      </c>
      <c r="G17" s="12">
        <f>D17*E17+(1-D17)*F17</f>
        <v/>
      </c>
      <c r="H17" s="7" t="inlineStr">
        <is>
          <t>Quarterly EP segment revenue; PFA adoption data; competitive share data</t>
        </is>
      </c>
    </row>
    <row r="18" ht="20" customHeight="1">
      <c r="A18" s="55" t="inlineStr"/>
      <c r="B18" s="15" t="inlineStr">
        <is>
          <t>Symplicity renal denervation reimbursement ramp post-approval</t>
        </is>
      </c>
      <c r="C18" s="55" t="inlineStr">
        <is>
          <t>H2 2026</t>
        </is>
      </c>
      <c r="D18" s="57" t="n">
        <v>0.55</v>
      </c>
      <c r="E18" s="17" t="n">
        <v>0.08</v>
      </c>
      <c r="F18" s="17" t="n">
        <v>-0.03</v>
      </c>
      <c r="G18" s="20">
        <f>D18*E18+(1-D18)*F18</f>
        <v/>
      </c>
      <c r="H18" s="15" t="inlineStr">
        <is>
          <t>Procedure volumes; reimbursement code adoption; physician training pipeline</t>
        </is>
      </c>
    </row>
  </sheetData>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5"/>
  <sheetViews>
    <sheetView showGridLines="0" workbookViewId="0">
      <pane ySplit="2" topLeftCell="A3" activePane="bottomLeft" state="frozen"/>
      <selection pane="bottomLeft" activeCell="A1" sqref="A1"/>
    </sheetView>
  </sheetViews>
  <sheetFormatPr baseColWidth="8" defaultRowHeight="15"/>
  <cols>
    <col width="10" customWidth="1" min="1" max="1"/>
    <col width="30" customWidth="1" min="2" max="2"/>
    <col width="10" customWidth="1" min="3" max="3"/>
    <col width="10" customWidth="1" min="4" max="4"/>
    <col width="8" customWidth="1" min="5" max="5"/>
    <col width="30" customWidth="1" min="6" max="6"/>
    <col width="10" customWidth="1" min="7" max="7"/>
    <col width="10" customWidth="1" min="8" max="8"/>
    <col width="8" customWidth="1" min="9" max="9"/>
    <col width="30" customWidth="1" min="10" max="10"/>
    <col width="10" customWidth="1" min="11" max="11"/>
    <col width="10" customWidth="1" min="12" max="12"/>
    <col width="8" customWidth="1" min="13" max="13"/>
    <col width="10" customWidth="1" min="14" max="14"/>
  </cols>
  <sheetData>
    <row r="1" ht="36" customHeight="1">
      <c r="A1" s="35" t="inlineStr">
        <is>
          <t>RISK MATRIX — BULL / BASE / BEAR SCENARIOS &amp; EXPECTED VALUE</t>
        </is>
      </c>
    </row>
    <row r="2" ht="40" customHeight="1">
      <c r="A2" s="4" t="inlineStr">
        <is>
          <t>Ticker</t>
        </is>
      </c>
      <c r="B2" s="4" t="inlineStr">
        <is>
          <t>Bull Case Desc.</t>
        </is>
      </c>
      <c r="C2" s="4" t="inlineStr">
        <is>
          <t>Bull Target</t>
        </is>
      </c>
      <c r="D2" s="4" t="inlineStr">
        <is>
          <t>Bull Return (%)</t>
        </is>
      </c>
      <c r="E2" s="4" t="inlineStr">
        <is>
          <t>P(Bull)</t>
        </is>
      </c>
      <c r="F2" s="4" t="inlineStr">
        <is>
          <t>Base Case Desc.</t>
        </is>
      </c>
      <c r="G2" s="4" t="inlineStr">
        <is>
          <t>Base Target</t>
        </is>
      </c>
      <c r="H2" s="4" t="inlineStr">
        <is>
          <t>Base Return (%)</t>
        </is>
      </c>
      <c r="I2" s="4" t="inlineStr">
        <is>
          <t>P(Base)</t>
        </is>
      </c>
      <c r="J2" s="4" t="inlineStr">
        <is>
          <t>Bear Case Desc.</t>
        </is>
      </c>
      <c r="K2" s="4" t="inlineStr">
        <is>
          <t>Bear Target</t>
        </is>
      </c>
      <c r="L2" s="4" t="inlineStr">
        <is>
          <t>Bear Return (%)</t>
        </is>
      </c>
      <c r="M2" s="4" t="inlineStr">
        <is>
          <t>P(Bear)</t>
        </is>
      </c>
      <c r="N2" s="4" t="inlineStr">
        <is>
          <t>Expected
Value (%)</t>
        </is>
      </c>
    </row>
    <row r="3" ht="22" customHeight="1">
      <c r="A3" s="6" t="inlineStr">
        <is>
          <t>BSX</t>
        </is>
      </c>
      <c r="B3" s="52" t="inlineStr">
        <is>
          <t>CHAMPION-AF positive; FARAPULSE dominates EP; 14%+ organic growth sustained; tariffs exempted; re-rate to 35x fwd EPS</t>
        </is>
      </c>
      <c r="C3" s="8" t="n">
        <v>130</v>
      </c>
      <c r="D3" s="9" t="n">
        <v>0.826</v>
      </c>
      <c r="E3" s="56" t="n">
        <v>0.3</v>
      </c>
      <c r="F3" s="52" t="inlineStr">
        <is>
          <t>CHAMPION-AF positive; 10-12% organic growth; FARAPULSE strong; tariffs manageable; re-rate to 30x fwd</t>
        </is>
      </c>
      <c r="G3" s="8" t="n">
        <v>100</v>
      </c>
      <c r="H3" s="9" t="n">
        <v>0.404</v>
      </c>
      <c r="I3" s="56" t="n">
        <v>0.45</v>
      </c>
      <c r="J3" s="52" t="inlineStr">
        <is>
          <t>CHAMPION-AF disappoints; tariffs hit margins; competitive pressure in EP; growth decelerates to 6-8%</t>
        </is>
      </c>
      <c r="K3" s="8" t="n">
        <v>60</v>
      </c>
      <c r="L3" s="9" t="n">
        <v>-0.157</v>
      </c>
      <c r="M3" s="56" t="n">
        <v>0.25</v>
      </c>
      <c r="N3" s="12">
        <f>E3*D3+I3*H3+M3*L3</f>
        <v/>
      </c>
    </row>
    <row r="4" ht="22" customHeight="1">
      <c r="A4" s="14" t="inlineStr">
        <is>
          <t>NVO</t>
        </is>
      </c>
      <c r="B4" s="55" t="inlineStr">
        <is>
          <t>CagriSema approved; oral Wegovy exceeds; amycretin positive; re-rate to 18x fwd P/E</t>
        </is>
      </c>
      <c r="C4" s="16" t="n">
        <v>70</v>
      </c>
      <c r="D4" s="17" t="n">
        <v>0.8169999999999999</v>
      </c>
      <c r="E4" s="57" t="n">
        <v>0.25</v>
      </c>
      <c r="F4" s="55" t="inlineStr">
        <is>
          <t>CagriSema approved with modest uptake; EPS troughs at ~$3.15; re-rate to 15x fwd</t>
        </is>
      </c>
      <c r="G4" s="16" t="n">
        <v>50</v>
      </c>
      <c r="H4" s="17" t="n">
        <v>0.298</v>
      </c>
      <c r="I4" s="57" t="n">
        <v>0.5</v>
      </c>
      <c r="J4" s="55" t="inlineStr">
        <is>
          <t>CagriSema delayed; LLY dominates oral; IRA crushes margins; EPS declines further</t>
        </is>
      </c>
      <c r="K4" s="16" t="n">
        <v>30</v>
      </c>
      <c r="L4" s="17" t="n">
        <v>-0.221</v>
      </c>
      <c r="M4" s="57" t="n">
        <v>0.25</v>
      </c>
      <c r="N4" s="20">
        <f>E4*D4+I4*H4+M4*L4</f>
        <v/>
      </c>
    </row>
    <row r="5" ht="22" customHeight="1">
      <c r="A5" s="6" t="inlineStr">
        <is>
          <t>MDT</t>
        </is>
      </c>
      <c r="B5" s="52" t="inlineStr">
        <is>
          <t>MiniMed spin unlocks value; organic growth accelerates to 6%+; Elliott drives operational improvements; re-rate to 22x fwd P/E</t>
        </is>
      </c>
      <c r="C5" s="8" t="n">
        <v>135</v>
      </c>
      <c r="D5" s="9" t="n">
        <v>0.528</v>
      </c>
      <c r="E5" s="56" t="n">
        <v>0.25</v>
      </c>
      <c r="F5" s="52" t="inlineStr">
        <is>
          <t>Steady 4-5% organic growth; MiniMed spin on track; PFA drives EP acceleration; re-rate to 19x fwd</t>
        </is>
      </c>
      <c r="G5" s="8" t="n">
        <v>110</v>
      </c>
      <c r="H5" s="9" t="n">
        <v>0.246</v>
      </c>
      <c r="I5" s="56" t="n">
        <v>0.5</v>
      </c>
      <c r="J5" s="52" t="inlineStr">
        <is>
          <t>MiniMed spin delayed; innovation gap persists; GLP-1s reduce procedure volumes; growth stalls at 2-3%</t>
        </is>
      </c>
      <c r="K5" s="8" t="n">
        <v>75</v>
      </c>
      <c r="L5" s="9" t="n">
        <v>-0.151</v>
      </c>
      <c r="M5" s="56" t="n">
        <v>0.25</v>
      </c>
      <c r="N5" s="12">
        <f>E5*D5+I5*H5+M5*L5</f>
        <v/>
      </c>
    </row>
  </sheetData>
  <mergeCells count="1">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1"/>
  <sheetViews>
    <sheetView showGridLines="0" workbookViewId="0">
      <pane ySplit="2" topLeftCell="A3" activePane="bottomLeft" state="frozen"/>
      <selection pane="bottomLeft" activeCell="A1" sqref="A1"/>
    </sheetView>
  </sheetViews>
  <sheetFormatPr baseColWidth="8" defaultRowHeight="15"/>
  <cols>
    <col width="22" customWidth="1" min="1" max="1"/>
    <col width="22" customWidth="1" min="2" max="2"/>
    <col width="12" customWidth="1" min="3" max="3"/>
    <col width="18" customWidth="1" min="4" max="4"/>
    <col width="12" customWidth="1" min="5" max="5"/>
    <col width="12" customWidth="1" min="6" max="6"/>
    <col width="10" customWidth="1" min="7" max="7"/>
    <col width="12" customWidth="1" min="8" max="8"/>
    <col width="12" customWidth="1" min="9" max="9"/>
    <col width="12" customWidth="1" min="10" max="10"/>
  </cols>
  <sheetData>
    <row r="1" ht="45" customHeight="1">
      <c r="A1" s="35" t="inlineStr">
        <is>
          <t>NVO (NOVO NORDISK) — INSTITUTIONAL DEEP DIVE: IS THE BAD NEWS PRICED IN?</t>
        </is>
      </c>
    </row>
    <row r="2"/>
    <row r="3" ht="24" customHeight="1">
      <c r="A3" s="58" t="inlineStr">
        <is>
          <t>SELLOFF TIMELINE — KEY EVENTS</t>
        </is>
      </c>
    </row>
    <row r="4" ht="30" customHeight="1">
      <c r="A4" s="27" t="inlineStr">
        <is>
          <t>Date</t>
        </is>
      </c>
      <c r="B4" s="27" t="inlineStr">
        <is>
          <t>Event</t>
        </is>
      </c>
      <c r="C4" s="27" t="inlineStr">
        <is>
          <t>Stock Price</t>
        </is>
      </c>
      <c r="D4" s="27" t="inlineStr">
        <is>
          <t>% Change</t>
        </is>
      </c>
      <c r="E4" s="27" t="inlineStr">
        <is>
          <t>Interpretation</t>
        </is>
      </c>
    </row>
    <row r="5" ht="20" customHeight="1">
      <c r="A5" s="52" t="inlineStr">
        <is>
          <t>Jun 25, 2024</t>
        </is>
      </c>
      <c r="B5" s="52" t="inlineStr">
        <is>
          <t>All-time high</t>
        </is>
      </c>
      <c r="C5" s="8" t="n">
        <v>142.44</v>
      </c>
      <c r="D5" s="9" t="n"/>
      <c r="E5" s="52" t="inlineStr">
        <is>
          <t>Peak GLP-1 euphoria; NVO valued as hyper-growth pharma</t>
        </is>
      </c>
    </row>
    <row r="6" ht="20" customHeight="1">
      <c r="A6" s="55" t="inlineStr">
        <is>
          <t>Dec 20, 2024</t>
        </is>
      </c>
      <c r="B6" s="55" t="inlineStr">
        <is>
          <t>CagriSema REDEFINE 1 trial miss (22.7% vs 25% expected)</t>
        </is>
      </c>
      <c r="C6" s="16" t="n">
        <v>102</v>
      </c>
      <c r="D6" s="17" t="n">
        <v>-0.19</v>
      </c>
      <c r="E6" s="55" t="inlineStr">
        <is>
          <t>Market feared next-gen drug can't compete with LLY's Zepbound</t>
        </is>
      </c>
    </row>
    <row r="7" ht="20" customHeight="1">
      <c r="A7" s="52" t="inlineStr">
        <is>
          <t>Jul 29, 2025</t>
        </is>
      </c>
      <c r="B7" s="52" t="inlineStr">
        <is>
          <t>2025 guidance cut #3; worst single-day drop</t>
        </is>
      </c>
      <c r="C7" s="8" t="n">
        <v>57</v>
      </c>
      <c r="D7" s="9" t="n">
        <v>-0.2</v>
      </c>
      <c r="E7" s="52" t="inlineStr">
        <is>
          <t>Compounded GLP-1 competition; slower Wegovy uptake than expected</t>
        </is>
      </c>
    </row>
    <row r="8" ht="20" customHeight="1">
      <c r="A8" s="55" t="inlineStr">
        <is>
          <t>Nov 24, 2025</t>
        </is>
      </c>
      <c r="B8" s="55" t="inlineStr">
        <is>
          <t>Alzheimer's EVOKE trial failure; MFN pricing deal ($350/mo)</t>
        </is>
      </c>
      <c r="C8" s="16" t="n">
        <v>45</v>
      </c>
      <c r="D8" s="17" t="n">
        <v>-0.05</v>
      </c>
      <c r="E8" s="55" t="inlineStr">
        <is>
          <t>Pipeline setback + pricing pressure double hit; 4-year low</t>
        </is>
      </c>
    </row>
    <row r="9" ht="20" customHeight="1">
      <c r="A9" s="52" t="inlineStr">
        <is>
          <t>Feb 4, 2026</t>
        </is>
      </c>
      <c r="B9" s="52" t="inlineStr">
        <is>
          <t>2026 guidance: -5% to -13% sales decline (first since 2017)</t>
        </is>
      </c>
      <c r="C9" s="8" t="n">
        <v>47.76</v>
      </c>
      <c r="D9" s="9" t="n">
        <v>-0.18</v>
      </c>
      <c r="E9" s="52" t="inlineStr">
        <is>
          <t>Market priced NVO as declining pharma for first time</t>
        </is>
      </c>
    </row>
    <row r="10" ht="20" customHeight="1">
      <c r="A10" s="55" t="inlineStr">
        <is>
          <t>Feb 23, 2026</t>
        </is>
      </c>
      <c r="B10" s="55" t="inlineStr">
        <is>
          <t>CagriSema REDEFINE 4 head-to-head loss vs tirzepatide</t>
        </is>
      </c>
      <c r="C10" s="16" t="n">
        <v>42</v>
      </c>
      <c r="D10" s="17" t="n">
        <v>-0.16</v>
      </c>
      <c r="E10" s="55" t="inlineStr">
        <is>
          <t>Confirmed LLY clinical superiority; NVO lost narrative</t>
        </is>
      </c>
    </row>
    <row r="11" ht="20" customHeight="1">
      <c r="A11" s="52" t="inlineStr">
        <is>
          <t>Mar 3, 2026</t>
        </is>
      </c>
      <c r="B11" s="52" t="inlineStr">
        <is>
          <t>Wave of analyst downgrades; 52-week low</t>
        </is>
      </c>
      <c r="C11" s="8" t="n">
        <v>35.91</v>
      </c>
      <c r="D11" s="9" t="n"/>
      <c r="E11" s="52" t="inlineStr">
        <is>
          <t>Capitulation selling; max pessimism</t>
        </is>
      </c>
    </row>
    <row r="12" ht="20" customHeight="1">
      <c r="A12" s="55" t="inlineStr">
        <is>
          <t>Mar 17, 2026</t>
        </is>
      </c>
      <c r="B12" s="55" t="inlineStr">
        <is>
          <t>Current price</t>
        </is>
      </c>
      <c r="C12" s="16" t="n">
        <v>38.52</v>
      </c>
      <c r="D12" s="17" t="n"/>
      <c r="E12" s="55" t="inlineStr">
        <is>
          <t>Slight bounce from low; still -73% from ATH</t>
        </is>
      </c>
    </row>
    <row r="13"/>
    <row r="14" ht="24" customHeight="1">
      <c r="A14" s="58" t="inlineStr">
        <is>
          <t>PIPELINE STATUS TABLE</t>
        </is>
      </c>
    </row>
    <row r="15" ht="30" customHeight="1">
      <c r="A15" s="27" t="inlineStr">
        <is>
          <t>Asset</t>
        </is>
      </c>
      <c r="B15" s="27" t="inlineStr">
        <is>
          <t>Indication</t>
        </is>
      </c>
      <c r="C15" s="27" t="inlineStr">
        <is>
          <t>Phase</t>
        </is>
      </c>
      <c r="D15" s="27" t="inlineStr">
        <is>
          <t>Status</t>
        </is>
      </c>
      <c r="E15" s="27" t="inlineStr">
        <is>
          <t>Timeline</t>
        </is>
      </c>
      <c r="F15" s="27" t="inlineStr">
        <is>
          <t>Market Size ($B)</t>
        </is>
      </c>
      <c r="G15" s="27" t="inlineStr">
        <is>
          <t>Probability</t>
        </is>
      </c>
      <c r="H15" s="27" t="inlineStr">
        <is>
          <t>Bear Rev ($M)</t>
        </is>
      </c>
      <c r="I15" s="27" t="inlineStr">
        <is>
          <t>Base Rev ($M)</t>
        </is>
      </c>
      <c r="J15" s="27" t="inlineStr">
        <is>
          <t>Bull Rev ($M)</t>
        </is>
      </c>
    </row>
    <row r="16" ht="20" customHeight="1">
      <c r="A16" s="52" t="inlineStr">
        <is>
          <t>CagriSema (2.4/2.4mg)</t>
        </is>
      </c>
      <c r="B16" s="52" t="inlineStr">
        <is>
          <t>Obesity</t>
        </is>
      </c>
      <c r="C16" s="52" t="inlineStr">
        <is>
          <t>NDA Filed</t>
        </is>
      </c>
      <c r="D16" s="52" t="inlineStr">
        <is>
          <t>Under FDA review</t>
        </is>
      </c>
      <c r="E16" s="52" t="inlineStr">
        <is>
          <t>Decision late 2026</t>
        </is>
      </c>
      <c r="F16" s="50" t="n">
        <v>40</v>
      </c>
      <c r="G16" s="56" t="n">
        <v>0.65</v>
      </c>
      <c r="H16" s="59" t="n">
        <v>0</v>
      </c>
      <c r="I16" s="59" t="n">
        <v>2000</v>
      </c>
      <c r="J16" s="59" t="n">
        <v>5000</v>
      </c>
    </row>
    <row r="17" ht="20" customHeight="1">
      <c r="A17" s="55" t="inlineStr">
        <is>
          <t>CagriSema HD (2.4/7.2mg)</t>
        </is>
      </c>
      <c r="B17" s="55" t="inlineStr">
        <is>
          <t>Obesity</t>
        </is>
      </c>
      <c r="C17" s="55" t="inlineStr">
        <is>
          <t>Phase 3 planned</t>
        </is>
      </c>
      <c r="D17" s="55" t="inlineStr">
        <is>
          <t>Initiation H2 2026</t>
        </is>
      </c>
      <c r="E17" s="55" t="inlineStr">
        <is>
          <t>Data 2028</t>
        </is>
      </c>
      <c r="F17" s="53" t="n">
        <v>40</v>
      </c>
      <c r="G17" s="57" t="n">
        <v>0.45</v>
      </c>
      <c r="H17" s="60" t="n">
        <v>0</v>
      </c>
      <c r="I17" s="60" t="n">
        <v>3000</v>
      </c>
      <c r="J17" s="60" t="n">
        <v>8000</v>
      </c>
    </row>
    <row r="18" ht="20" customHeight="1">
      <c r="A18" s="52" t="inlineStr">
        <is>
          <t>Amycretin/Zenagamtide</t>
        </is>
      </c>
      <c r="B18" s="52" t="inlineStr">
        <is>
          <t>Obesity</t>
        </is>
      </c>
      <c r="C18" s="52" t="inlineStr">
        <is>
          <t>Phase 3</t>
        </is>
      </c>
      <c r="D18" s="52" t="inlineStr">
        <is>
          <t>AMAZE initiated Q1 2026</t>
        </is>
      </c>
      <c r="E18" s="52" t="inlineStr">
        <is>
          <t>Data H2 2027</t>
        </is>
      </c>
      <c r="F18" s="50" t="n">
        <v>40</v>
      </c>
      <c r="G18" s="56" t="n">
        <v>0.5</v>
      </c>
      <c r="H18" s="59" t="n">
        <v>0</v>
      </c>
      <c r="I18" s="59" t="n">
        <v>2500</v>
      </c>
      <c r="J18" s="59" t="n">
        <v>6000</v>
      </c>
    </row>
    <row r="19" ht="20" customHeight="1">
      <c r="A19" s="55" t="inlineStr">
        <is>
          <t>Oral Wegovy</t>
        </is>
      </c>
      <c r="B19" s="55" t="inlineStr">
        <is>
          <t>Obesity</t>
        </is>
      </c>
      <c r="C19" s="55" t="inlineStr">
        <is>
          <t>Marketed</t>
        </is>
      </c>
      <c r="D19" s="55" t="inlineStr">
        <is>
          <t>Launched early 2026; 170K patients in 4 weeks</t>
        </is>
      </c>
      <c r="E19" s="55" t="inlineStr">
        <is>
          <t>Ongoing</t>
        </is>
      </c>
      <c r="F19" s="53" t="n">
        <v>22</v>
      </c>
      <c r="G19" s="57" t="n">
        <v>0.85</v>
      </c>
      <c r="H19" s="60" t="n">
        <v>1500</v>
      </c>
      <c r="I19" s="60" t="n">
        <v>3000</v>
      </c>
      <c r="J19" s="60" t="n">
        <v>5000</v>
      </c>
    </row>
    <row r="20" ht="20" customHeight="1">
      <c r="A20" s="52" t="inlineStr">
        <is>
          <t>Semaglutide CKD (Ozempic)</t>
        </is>
      </c>
      <c r="B20" s="52" t="inlineStr">
        <is>
          <t>CKD in T2D</t>
        </is>
      </c>
      <c r="C20" s="52" t="inlineStr">
        <is>
          <t>Marketed</t>
        </is>
      </c>
      <c r="D20" s="52" t="inlineStr">
        <is>
          <t>FDA approved Jan 2025</t>
        </is>
      </c>
      <c r="E20" s="52" t="inlineStr">
        <is>
          <t>Ongoing</t>
        </is>
      </c>
      <c r="F20" s="50" t="n">
        <v>10</v>
      </c>
      <c r="G20" s="56" t="n">
        <v>0.9</v>
      </c>
      <c r="H20" s="59" t="n">
        <v>500</v>
      </c>
      <c r="I20" s="59" t="n">
        <v>1000</v>
      </c>
      <c r="J20" s="59" t="n">
        <v>2000</v>
      </c>
    </row>
    <row r="21" ht="20" customHeight="1">
      <c r="A21" s="55" t="inlineStr">
        <is>
          <t>Mim8</t>
        </is>
      </c>
      <c r="B21" s="55" t="inlineStr">
        <is>
          <t>Hemophilia A</t>
        </is>
      </c>
      <c r="C21" s="55" t="inlineStr">
        <is>
          <t>BLA Filed</t>
        </is>
      </c>
      <c r="D21" s="55" t="inlineStr">
        <is>
          <t>Under FDA review</t>
        </is>
      </c>
      <c r="E21" s="55" t="inlineStr">
        <is>
          <t>Decision 2026</t>
        </is>
      </c>
      <c r="F21" s="53" t="n">
        <v>6</v>
      </c>
      <c r="G21" s="57" t="n">
        <v>0.7</v>
      </c>
      <c r="H21" s="60" t="n">
        <v>0</v>
      </c>
      <c r="I21" s="60" t="n">
        <v>800</v>
      </c>
      <c r="J21" s="60" t="n">
        <v>1500</v>
      </c>
    </row>
    <row r="22" ht="20" customHeight="1">
      <c r="A22" s="52" t="inlineStr">
        <is>
          <t>Ziltivekimab</t>
        </is>
      </c>
      <c r="B22" s="52" t="inlineStr">
        <is>
          <t>ASCVD</t>
        </is>
      </c>
      <c r="C22" s="52" t="inlineStr">
        <is>
          <t>Phase 3</t>
        </is>
      </c>
      <c r="D22" s="52" t="inlineStr">
        <is>
          <t>ZEUS trial ongoing</t>
        </is>
      </c>
      <c r="E22" s="52" t="inlineStr">
        <is>
          <t>Data 2027</t>
        </is>
      </c>
      <c r="F22" s="50" t="n">
        <v>8</v>
      </c>
      <c r="G22" s="56" t="n">
        <v>0.4</v>
      </c>
      <c r="H22" s="59" t="n">
        <v>0</v>
      </c>
      <c r="I22" s="59" t="n">
        <v>500</v>
      </c>
      <c r="J22" s="59" t="n">
        <v>2000</v>
      </c>
    </row>
    <row r="23"/>
    <row r="24" ht="24" customHeight="1">
      <c r="A24" s="58" t="inlineStr">
        <is>
          <t>IRA PRICING IMPACT MODEL (2027+)</t>
        </is>
      </c>
    </row>
    <row r="25">
      <c r="A25" s="61" t="inlineStr">
        <is>
          <t>Current Ozempic/Wegovy Net Price (US avg)</t>
        </is>
      </c>
      <c r="B25" s="59" t="n">
        <v>650</v>
      </c>
    </row>
    <row r="26">
      <c r="A26" s="61" t="inlineStr">
        <is>
          <t>IRA Max Fair Price — Ozempic</t>
        </is>
      </c>
      <c r="B26" s="59" t="n">
        <v>277</v>
      </c>
    </row>
    <row r="27">
      <c r="A27" s="61" t="inlineStr">
        <is>
          <t>IRA Max Fair Price — Wegovy</t>
        </is>
      </c>
      <c r="B27" s="59" t="n">
        <v>386</v>
      </c>
    </row>
    <row r="28">
      <c r="A28" s="61" t="inlineStr">
        <is>
          <t>Estimated Revenue at Risk (2027)</t>
        </is>
      </c>
      <c r="B28" s="50" t="n">
        <v>5</v>
      </c>
    </row>
    <row r="29">
      <c r="A29" s="61" t="inlineStr">
        <is>
          <t>% of 2025 Revenue at Risk</t>
        </is>
      </c>
      <c r="B29" s="9" t="n">
        <v>0.103</v>
      </c>
    </row>
    <row r="30">
      <c r="A30" s="61" t="inlineStr">
        <is>
          <t>EPS Impact (Bear Case)</t>
        </is>
      </c>
      <c r="B30" s="8" t="n">
        <v>-0.8</v>
      </c>
    </row>
    <row r="31">
      <c r="A31" s="61" t="inlineStr">
        <is>
          <t>EPS Impact (Base Case)</t>
        </is>
      </c>
      <c r="B31" s="8" t="n">
        <v>-0.5</v>
      </c>
    </row>
    <row r="32"/>
    <row r="33" ht="24" customHeight="1">
      <c r="A33" s="58" t="inlineStr">
        <is>
          <t>COMPETITIVE POSITIONING — NVO vs. LLY</t>
        </is>
      </c>
    </row>
    <row r="34">
      <c r="A34" s="61" t="inlineStr">
        <is>
          <t>NVO GLP-1 Market Share</t>
        </is>
      </c>
      <c r="B34" s="9" t="n">
        <v>0.4</v>
      </c>
    </row>
    <row r="35">
      <c r="A35" s="61" t="inlineStr">
        <is>
          <t>LLY GLP-1 Market Share</t>
        </is>
      </c>
      <c r="B35" s="9" t="n">
        <v>0.6</v>
      </c>
    </row>
    <row r="36">
      <c r="A36" s="61" t="inlineStr">
        <is>
          <t>Market Share Trend</t>
        </is>
      </c>
      <c r="B36" s="52" t="inlineStr">
        <is>
          <t>LLY gaining; NVO share fell from 60% to 40% over 18 months</t>
        </is>
      </c>
    </row>
    <row r="37">
      <c r="A37" s="61" t="inlineStr">
        <is>
          <t>Notes</t>
        </is>
      </c>
      <c r="B37" s="52" t="inlineStr">
        <is>
          <t>LLY clinically superior (25.5% vs 23.0% weight loss); LLY oral pill more convenient; Goldman projects LLY 60% oral share by 2030. NVO advantage: first oral obesity pill launched, CKD label, broader pipeline diversity.</t>
        </is>
      </c>
    </row>
    <row r="38"/>
    <row r="39" ht="24" customHeight="1">
      <c r="A39" s="58" t="inlineStr">
        <is>
          <t>M&amp;A CAPACITY ANALYSIS</t>
        </is>
      </c>
    </row>
    <row r="40">
      <c r="A40" s="61" t="inlineStr">
        <is>
          <t>Available Cash ($B)</t>
        </is>
      </c>
      <c r="B40" s="50" t="n">
        <v>3.9</v>
      </c>
    </row>
    <row r="41">
      <c r="A41" s="61" t="inlineStr">
        <is>
          <t>Leverage Headroom ($B)</t>
        </is>
      </c>
      <c r="B41" s="50" t="n">
        <v>15</v>
      </c>
    </row>
    <row r="42">
      <c r="A42" s="61" t="inlineStr">
        <is>
          <t>Total Firepower ($B)</t>
        </is>
      </c>
      <c r="B42" s="50" t="n">
        <v>20</v>
      </c>
    </row>
    <row r="43">
      <c r="A43" s="61" t="inlineStr">
        <is>
          <t>Likely Targets</t>
        </is>
      </c>
      <c r="B43" s="52" t="inlineStr">
        <is>
          <t>Next-gen obesity mechanisms; oral GLP-1 formulations; cardio-metabolic assets; already partnered with Chinese company on UBT251 triple agonist</t>
        </is>
      </c>
    </row>
    <row r="44"/>
    <row r="45" ht="24" customHeight="1">
      <c r="A45" s="58" t="inlineStr">
        <is>
          <t>VERDICT: IS THE BAD NEWS PRICED IN?</t>
        </is>
      </c>
    </row>
    <row r="46">
      <c r="A46" s="62" t="inlineStr">
        <is>
          <t>Conclusion:</t>
        </is>
      </c>
      <c r="B46" s="63" t="inlineStr">
        <is>
          <t>PARTIALLY PRICED IN — Asymmetric risk/reward favors longs at current levels</t>
        </is>
      </c>
    </row>
    <row r="47" ht="90" customHeight="1">
      <c r="A47" s="64" t="inlineStr">
        <is>
          <t>At 12x forward P/E (vs 37.5x 5-yr avg), NVO is priced as a declining mature pharma company — yet it still generates $8.6B FCF, has an AA- balance sheet, and owns the #2 position in the fastest-growing therapeutic category in pharma history. The bad news (CagriSema miss, LLY superiority, IRA pricing, guidance cuts) IS largely priced in. What is NOT priced in: (1) Medicare obesity coverage starting Jul 2026 creating 40M+ new beneficiaries, (2) oral Wegovy's explosive launch trajectory, (3) amycretin as a legitimate next-gen asset, (4) higher-dose CagriSema potentially closing the efficacy gap. The 2:1 to 3:1 risk/reward ratio is attractive for a capital-preservation strategy. Position sizing should reflect the uncertainty — 2-3% position, not 5%.</t>
        </is>
      </c>
    </row>
    <row r="48"/>
    <row r="49"/>
    <row r="50"/>
    <row r="51"/>
  </sheetData>
  <mergeCells count="8">
    <mergeCell ref="A1:J1"/>
    <mergeCell ref="A45:J45"/>
    <mergeCell ref="A14:J14"/>
    <mergeCell ref="A3:J3"/>
    <mergeCell ref="A39:J39"/>
    <mergeCell ref="A24:J24"/>
    <mergeCell ref="A47:J5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pane ySplit="2" topLeftCell="A3" activePane="bottomLeft" state="frozen"/>
      <selection pane="bottomLeft" activeCell="A1" sqref="A1"/>
    </sheetView>
  </sheetViews>
  <sheetFormatPr baseColWidth="8" defaultRowHeight="15"/>
  <cols>
    <col width="35" customWidth="1" min="1" max="1"/>
    <col width="30" customWidth="1" min="2" max="2"/>
    <col width="40" customWidth="1" min="3" max="3"/>
    <col width="30" customWidth="1" min="4" max="4"/>
  </cols>
  <sheetData>
    <row r="1" ht="36" customHeight="1">
      <c r="A1" s="35" t="inlineStr">
        <is>
          <t>MODEL ASSUMPTIONS &amp; DATA SOURCES</t>
        </is>
      </c>
    </row>
    <row r="2"/>
    <row r="3" ht="30" customHeight="1">
      <c r="A3" s="23" t="inlineStr">
        <is>
          <t>MACRO ASSUMPTIONS</t>
        </is>
      </c>
      <c r="B3" s="23" t="inlineStr">
        <is>
          <t>Value</t>
        </is>
      </c>
      <c r="C3" s="23" t="inlineStr">
        <is>
          <t>Notes</t>
        </is>
      </c>
      <c r="D3" s="23" t="inlineStr">
        <is>
          <t>Source</t>
        </is>
      </c>
    </row>
    <row r="4">
      <c r="A4" s="30" t="inlineStr">
        <is>
          <t>US GDP Growth (2026E)</t>
        </is>
      </c>
      <c r="B4" s="65" t="inlineStr">
        <is>
          <t>1.5-2.0%</t>
        </is>
      </c>
      <c r="C4" s="30" t="inlineStr">
        <is>
          <t>Below-trend; bearish credit conditions</t>
        </is>
      </c>
      <c r="D4" s="30" t="inlineStr">
        <is>
          <t>Fed consensus / FOMC projections</t>
        </is>
      </c>
    </row>
    <row r="5">
      <c r="A5" s="32" t="inlineStr">
        <is>
          <t>Fed Funds Rate (year-end 2026)</t>
        </is>
      </c>
      <c r="B5" s="66" t="inlineStr">
        <is>
          <t>4.25-4.50%</t>
        </is>
      </c>
      <c r="C5" s="32" t="inlineStr">
        <is>
          <t>Rates stay elevated; 1-2 cuts expected</t>
        </is>
      </c>
      <c r="D5" s="32" t="inlineStr">
        <is>
          <t>CME FedWatch</t>
        </is>
      </c>
    </row>
    <row r="6">
      <c r="A6" s="30" t="inlineStr">
        <is>
          <t>US CPI (2026E)</t>
        </is>
      </c>
      <c r="B6" s="65" t="inlineStr">
        <is>
          <t>2.8-3.2%</t>
        </is>
      </c>
      <c r="C6" s="30" t="inlineStr">
        <is>
          <t>Sticky services inflation</t>
        </is>
      </c>
      <c r="D6" s="30" t="inlineStr">
        <is>
          <t>BLS / Fed projections</t>
        </is>
      </c>
    </row>
    <row r="7">
      <c r="A7" s="32" t="inlineStr">
        <is>
          <t>US Unemployment (2026E)</t>
        </is>
      </c>
      <c r="B7" s="66" t="inlineStr">
        <is>
          <t>4.2-4.5%</t>
        </is>
      </c>
      <c r="C7" s="32" t="inlineStr">
        <is>
          <t>Gradual weakening</t>
        </is>
      </c>
      <c r="D7" s="32" t="inlineStr">
        <is>
          <t>BLS</t>
        </is>
      </c>
    </row>
    <row r="8">
      <c r="A8" s="30" t="inlineStr">
        <is>
          <t>Credit Spreads</t>
        </is>
      </c>
      <c r="B8" s="65" t="inlineStr">
        <is>
          <t>Widening</t>
        </is>
      </c>
      <c r="C8" s="30" t="inlineStr">
        <is>
          <t>IG +20-40bps; HY +100-200bps expected</t>
        </is>
      </c>
      <c r="D8" s="30" t="inlineStr">
        <is>
          <t>ICE BofA indices</t>
        </is>
      </c>
    </row>
    <row r="9">
      <c r="A9" s="32" t="inlineStr">
        <is>
          <t>Macro Regime</t>
        </is>
      </c>
      <c r="B9" s="66" t="inlineStr">
        <is>
          <t>Late-cycle bearish</t>
        </is>
      </c>
      <c r="C9" s="32" t="inlineStr">
        <is>
          <t>Favor defensive sectors with pricing power</t>
        </is>
      </c>
      <c r="D9" s="32" t="inlineStr">
        <is>
          <t>Strategy assessment</t>
        </is>
      </c>
    </row>
    <row r="10"/>
    <row r="11" ht="30" customHeight="1">
      <c r="A11" s="23" t="inlineStr">
        <is>
          <t>VALUATION ASSUMPTIONS</t>
        </is>
      </c>
      <c r="B11" s="23" t="inlineStr">
        <is>
          <t>Value</t>
        </is>
      </c>
      <c r="C11" s="23" t="inlineStr">
        <is>
          <t>Notes</t>
        </is>
      </c>
      <c r="D11" s="23" t="inlineStr">
        <is>
          <t>Source</t>
        </is>
      </c>
    </row>
    <row r="12">
      <c r="A12" s="30" t="inlineStr">
        <is>
          <t>Target P/E Methodology</t>
        </is>
      </c>
      <c r="B12" s="65" t="inlineStr">
        <is>
          <t>Blended: 40% DCF, 30% Comps, 30% Consensus</t>
        </is>
      </c>
      <c r="C12" s="30" t="inlineStr">
        <is>
          <t>Conservative weighting; DCF uses 10% WACC</t>
        </is>
      </c>
      <c r="D12" s="30" t="inlineStr">
        <is>
          <t>Internal methodology</t>
        </is>
      </c>
    </row>
    <row r="13">
      <c r="A13" s="32" t="inlineStr">
        <is>
          <t>Discount Rate (WACC)</t>
        </is>
      </c>
      <c r="B13" s="66" t="inlineStr">
        <is>
          <t>9-11%</t>
        </is>
      </c>
      <c r="C13" s="32" t="inlineStr">
        <is>
          <t>Higher than historical to reflect elevated risk-free rate</t>
        </is>
      </c>
      <c r="D13" s="32" t="inlineStr">
        <is>
          <t>CAPM with equity risk premium</t>
        </is>
      </c>
    </row>
    <row r="14">
      <c r="A14" s="30" t="inlineStr">
        <is>
          <t>Terminal Growth Rate</t>
        </is>
      </c>
      <c r="B14" s="65" t="inlineStr">
        <is>
          <t>2.0-3.0%</t>
        </is>
      </c>
      <c r="C14" s="30" t="inlineStr">
        <is>
          <t>GDP-aligned; no premium</t>
        </is>
      </c>
      <c r="D14" s="30" t="inlineStr">
        <is>
          <t>Conservative assumption</t>
        </is>
      </c>
    </row>
    <row r="15">
      <c r="A15" s="32" t="inlineStr">
        <is>
          <t>Holding Period</t>
        </is>
      </c>
      <c r="B15" s="66" t="inlineStr">
        <is>
          <t>6-18 months</t>
        </is>
      </c>
      <c r="C15" s="32" t="inlineStr">
        <is>
          <t>Catalyst-driven recovery timeline</t>
        </is>
      </c>
      <c r="D15" s="32" t="inlineStr">
        <is>
          <t>Strategy parameter</t>
        </is>
      </c>
    </row>
    <row r="16">
      <c r="A16" s="30" t="inlineStr">
        <is>
          <t>Recovery Filter</t>
        </is>
      </c>
      <c r="B16" s="65" t="inlineStr">
        <is>
          <t>&lt;50% within 52-week range</t>
        </is>
      </c>
      <c r="C16" s="30" t="inlineStr">
        <is>
          <t>Screens out stocks that have already recovered significantly</t>
        </is>
      </c>
      <c r="D16" s="30" t="inlineStr">
        <is>
          <t>Custom filter to catch early-stage bottoming</t>
        </is>
      </c>
    </row>
    <row r="17"/>
    <row r="18" ht="30" customHeight="1">
      <c r="A18" s="23" t="inlineStr">
        <is>
          <t>PEER GROUP DEFINITIONS</t>
        </is>
      </c>
      <c r="B18" s="23" t="inlineStr">
        <is>
          <t>Peers Included</t>
        </is>
      </c>
      <c r="C18" s="23" t="inlineStr">
        <is>
          <t>Rationale</t>
        </is>
      </c>
      <c r="D18" s="23" t="inlineStr">
        <is>
          <t>Exclusions</t>
        </is>
      </c>
    </row>
    <row r="19">
      <c r="A19" s="30" t="inlineStr">
        <is>
          <t>BSX</t>
        </is>
      </c>
      <c r="B19" s="30" t="inlineStr">
        <is>
          <t>MDT, ABT, EW, SYK</t>
        </is>
      </c>
      <c r="C19" s="30" t="inlineStr">
        <is>
          <t>Cardiovascular and interventional device companies with EP/structural heart exposure</t>
        </is>
      </c>
      <c r="D19" s="30" t="inlineStr">
        <is>
          <t>JNJ MedTech (different conglomerate structure)</t>
        </is>
      </c>
    </row>
    <row r="20">
      <c r="A20" s="32" t="inlineStr">
        <is>
          <t>NVO</t>
        </is>
      </c>
      <c r="B20" s="32" t="inlineStr">
        <is>
          <t>LLY, ABBV, MRK, PFE</t>
        </is>
      </c>
      <c r="C20" s="32" t="inlineStr">
        <is>
          <t>Large-cap pharma with GLP-1/obesity exposure</t>
        </is>
      </c>
      <c r="D20" s="32" t="inlineStr">
        <is>
          <t>AZN (different therapeutic focus)</t>
        </is>
      </c>
    </row>
    <row r="21">
      <c r="A21" s="30" t="inlineStr">
        <is>
          <t>MDT</t>
        </is>
      </c>
      <c r="B21" s="30" t="inlineStr">
        <is>
          <t>ABT, SYK, BSX, EW</t>
        </is>
      </c>
      <c r="C21" s="30" t="inlineStr">
        <is>
          <t>Diversified large-cap medical device companies</t>
        </is>
      </c>
      <c r="D21" s="30" t="inlineStr">
        <is>
          <t>JNJ MedTech (different conglomerate structure)</t>
        </is>
      </c>
    </row>
    <row r="22"/>
    <row r="23" ht="30" customHeight="1">
      <c r="A23" s="23" t="inlineStr">
        <is>
          <t>DATA SOURCES</t>
        </is>
      </c>
      <c r="B23" s="23" t="inlineStr">
        <is>
          <t>Description</t>
        </is>
      </c>
      <c r="C23" s="23" t="inlineStr">
        <is>
          <t>As-of Date</t>
        </is>
      </c>
      <c r="D23" s="23" t="inlineStr">
        <is>
          <t>Notes</t>
        </is>
      </c>
    </row>
    <row r="24">
      <c r="A24" s="30" t="inlineStr">
        <is>
          <t>Financial Modeling Prep (FMP) API</t>
        </is>
      </c>
      <c r="B24" s="30" t="inlineStr">
        <is>
          <t>Fundamentals, ratios, estimates, price targets</t>
        </is>
      </c>
      <c r="C24" s="30" t="inlineStr">
        <is>
          <t>March 17, 2026</t>
        </is>
      </c>
      <c r="D24" s="30" t="inlineStr">
        <is>
          <t>Primary quantitative data source; stable API endpoints</t>
        </is>
      </c>
    </row>
    <row r="25">
      <c r="A25" s="32" t="inlineStr">
        <is>
          <t>stockanalysis.com</t>
        </is>
      </c>
      <c r="B25" s="32" t="inlineStr">
        <is>
          <t>Price, financials, estimates, peer data</t>
        </is>
      </c>
      <c r="C25" s="32" t="inlineStr">
        <is>
          <t>March 17, 2026</t>
        </is>
      </c>
      <c r="D25" s="32" t="inlineStr">
        <is>
          <t>Cross-reference for NVO deep dive</t>
        </is>
      </c>
    </row>
    <row r="26">
      <c r="A26" s="30" t="inlineStr">
        <is>
          <t>SEC EDGAR filings</t>
        </is>
      </c>
      <c r="B26" s="30" t="inlineStr">
        <is>
          <t>Annual and quarterly reports</t>
        </is>
      </c>
      <c r="C26" s="30" t="inlineStr">
        <is>
          <t>FY 2025 10-K filings</t>
        </is>
      </c>
      <c r="D26" s="30" t="inlineStr">
        <is>
          <t>Balance sheet and cash flow verification</t>
        </is>
      </c>
    </row>
    <row r="27">
      <c r="A27" s="32" t="inlineStr">
        <is>
          <t>Sell-side research</t>
        </is>
      </c>
      <c r="B27" s="32" t="inlineStr">
        <is>
          <t>Analyst ratings, price targets, estimates</t>
        </is>
      </c>
      <c r="C27" s="32" t="inlineStr">
        <is>
          <t>March 2026</t>
        </is>
      </c>
      <c r="D27" s="32" t="inlineStr">
        <is>
          <t>Goldman, JPM, MS, TD Cowen, Deutsche Bank</t>
        </is>
      </c>
    </row>
    <row r="28">
      <c r="A28" s="30" t="inlineStr">
        <is>
          <t>CMS/FDA databases</t>
        </is>
      </c>
      <c r="B28" s="30" t="inlineStr">
        <is>
          <t>IRA pricing, FDA approval timelines</t>
        </is>
      </c>
      <c r="C28" s="30" t="inlineStr">
        <is>
          <t>March 2026</t>
        </is>
      </c>
      <c r="D28" s="30" t="inlineStr">
        <is>
          <t>Medicare Fair Prices; PDUFA dates</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4"/>
  <sheetViews>
    <sheetView showGridLines="0" workbookViewId="0">
      <pane ySplit="2" topLeftCell="A3" activePane="bottomLeft" state="frozen"/>
      <selection pane="bottomLeft" activeCell="A1" sqref="A1"/>
    </sheetView>
  </sheetViews>
  <sheetFormatPr baseColWidth="8" defaultRowHeight="15"/>
  <cols>
    <col width="30" customWidth="1" min="1" max="1"/>
    <col width="40" customWidth="1" min="2" max="2"/>
    <col width="45" customWidth="1" min="3" max="3"/>
    <col width="40" customWidth="1" min="4" max="4"/>
  </cols>
  <sheetData>
    <row r="1" ht="40" customHeight="1">
      <c r="A1" s="35" t="inlineStr">
        <is>
          <t>SCREENER LOGIC — METHODOLOGY &amp; DECISION FRAMEWORK</t>
        </is>
      </c>
    </row>
    <row r="2"/>
    <row r="3" ht="26" customHeight="1">
      <c r="A3" s="22" t="inlineStr">
        <is>
          <t>7-CRITERIA SCORING SYSTEM (v2 — Post-Mortem Updated)</t>
        </is>
      </c>
    </row>
    <row r="4" ht="30" customHeight="1">
      <c r="A4" s="27" t="inlineStr">
        <is>
          <t>Criterion</t>
        </is>
      </c>
      <c r="B4" s="27" t="inlineStr">
        <is>
          <t>Weight</t>
        </is>
      </c>
      <c r="C4" s="27" t="inlineStr">
        <is>
          <t>Key Question</t>
        </is>
      </c>
      <c r="D4" s="27" t="inlineStr">
        <is>
          <t>Threshold Notes</t>
        </is>
      </c>
    </row>
    <row r="5" ht="22" customHeight="1">
      <c r="A5" s="67" t="inlineStr">
        <is>
          <t>Valuation</t>
        </is>
      </c>
      <c r="B5" s="68" t="inlineStr">
        <is>
          <t>25%</t>
        </is>
      </c>
      <c r="C5" s="68" t="inlineStr">
        <is>
          <t>How cheap is the stock on absolute and relative basis?</t>
        </is>
      </c>
      <c r="D5" s="68" t="inlineStr">
        <is>
          <t>9-10: Multi-year trough, 40%+ implied upside; 5-6: Modestly below fair value</t>
        </is>
      </c>
    </row>
    <row r="6" ht="22" customHeight="1">
      <c r="A6" s="69" t="inlineStr">
        <is>
          <t>Balance Sheet</t>
        </is>
      </c>
      <c r="B6" s="70" t="inlineStr">
        <is>
          <t>20%</t>
        </is>
      </c>
      <c r="C6" s="70" t="inlineStr">
        <is>
          <t>Can it survive and fund itself through the downturn?</t>
        </is>
      </c>
      <c r="D6" s="70" t="inlineStr">
        <is>
          <t>9-10: Net cash, IG credit, strong FCF; Hard filter: ND/EBITDA &lt; 3.5x, int cov &gt; 3x</t>
        </is>
      </c>
    </row>
    <row r="7" ht="22" customHeight="1">
      <c r="A7" s="67" t="inlineStr">
        <is>
          <t>Catalyst Specificity</t>
        </is>
      </c>
      <c r="B7" s="68" t="inlineStr">
        <is>
          <t>20%</t>
        </is>
      </c>
      <c r="C7" s="68" t="inlineStr">
        <is>
          <t>Named, dated, binary catalysts?</t>
        </is>
      </c>
      <c r="D7" s="68" t="inlineStr">
        <is>
          <t>9-10: 2+ named catalysts with dates within 12mo, binary outcome; 3-4: Vague/long-dated</t>
        </is>
      </c>
    </row>
    <row r="8" ht="22" customHeight="1">
      <c r="A8" s="69" t="inlineStr">
        <is>
          <t>Selloff Quality</t>
        </is>
      </c>
      <c r="B8" s="70" t="inlineStr">
        <is>
          <t>15%</t>
        </is>
      </c>
      <c r="C8" s="70" t="inlineStr">
        <is>
          <t>Single-event overreaction or chronic decay?</t>
        </is>
      </c>
      <c r="D8" s="70" t="inlineStr">
        <is>
          <t>9-10: Classic single-event overreaction, core franchise intact; 1-2: Chronic pattern</t>
        </is>
      </c>
    </row>
    <row r="9" ht="22" customHeight="1">
      <c r="A9" s="67" t="inlineStr">
        <is>
          <t>Competitive Moat Integrity</t>
        </is>
      </c>
      <c r="B9" s="68" t="inlineStr">
        <is>
          <t>10%</t>
        </is>
      </c>
      <c r="C9" s="68" t="inlineStr">
        <is>
          <t>Is the competitive position intact?</t>
        </is>
      </c>
      <c r="D9" s="68" t="inlineStr">
        <is>
          <t>9-10: Monopoly/near-monopoly intact; Penalty: -1.5pts for structural share loss</t>
        </is>
      </c>
    </row>
    <row r="10" ht="22" customHeight="1">
      <c r="A10" s="69" t="inlineStr">
        <is>
          <t>Macro Alignment</t>
        </is>
      </c>
      <c r="B10" s="70" t="inlineStr">
        <is>
          <t>10%</t>
        </is>
      </c>
      <c r="C10" s="70" t="inlineStr">
        <is>
          <t>Is macro a tailwind or headwind?</t>
        </is>
      </c>
      <c r="D10" s="70" t="inlineStr">
        <is>
          <t>9-10: Strong tailwind; Cap at 3.0 if bipartisan political targeting/hostile regulation</t>
        </is>
      </c>
    </row>
    <row r="11" ht="22" customHeight="1">
      <c r="A11" s="67" t="inlineStr">
        <is>
          <t>Analyst Conviction</t>
        </is>
      </c>
      <c r="B11" s="68" t="inlineStr">
        <is>
          <t>5%</t>
        </is>
      </c>
      <c r="C11" s="68" t="inlineStr">
        <is>
          <t>What does smart money think?</t>
        </is>
      </c>
      <c r="D11" s="68" t="inlineStr">
        <is>
          <t>9-10: 75%+ buys, recent upgrades; Must have more Buys than Holds+Sells combined</t>
        </is>
      </c>
    </row>
    <row r="12"/>
    <row r="13" ht="26" customHeight="1">
      <c r="A13" s="22" t="inlineStr">
        <is>
          <t>SCORE INTERPRETATION</t>
        </is>
      </c>
    </row>
    <row r="14" ht="30" customHeight="1">
      <c r="A14" s="27" t="inlineStr">
        <is>
          <t>Score Range</t>
        </is>
      </c>
      <c r="B14" s="27" t="inlineStr">
        <is>
          <t>Label</t>
        </is>
      </c>
      <c r="C14" s="27" t="inlineStr">
        <is>
          <t>Action</t>
        </is>
      </c>
      <c r="D14" s="27" t="inlineStr">
        <is>
          <t>Position Size</t>
        </is>
      </c>
    </row>
    <row r="15" ht="22" customHeight="1">
      <c r="A15" s="71" t="inlineStr">
        <is>
          <t>8.0 - 10.0</t>
        </is>
      </c>
      <c r="B15" s="68" t="inlineStr">
        <is>
          <t>STRONG BUY</t>
        </is>
      </c>
      <c r="C15" s="68" t="inlineStr">
        <is>
          <t>High conviction entry</t>
        </is>
      </c>
      <c r="D15" s="68" t="inlineStr">
        <is>
          <t>3-5% position</t>
        </is>
      </c>
    </row>
    <row r="16" ht="22" customHeight="1">
      <c r="A16" s="72" t="inlineStr">
        <is>
          <t>6.5 - 7.9</t>
        </is>
      </c>
      <c r="B16" s="70" t="inlineStr">
        <is>
          <t>BUY</t>
        </is>
      </c>
      <c r="C16" s="70" t="inlineStr">
        <is>
          <t>Solid entry</t>
        </is>
      </c>
      <c r="D16" s="70" t="inlineStr">
        <is>
          <t>2-3% position</t>
        </is>
      </c>
    </row>
    <row r="17" ht="22" customHeight="1">
      <c r="A17" s="71" t="inlineStr">
        <is>
          <t>5.0 - 6.4</t>
        </is>
      </c>
      <c r="B17" s="68" t="inlineStr">
        <is>
          <t>SPECULATIVE BUY</t>
        </is>
      </c>
      <c r="C17" s="68" t="inlineStr">
        <is>
          <t>Small position or watchlist</t>
        </is>
      </c>
      <c r="D17" s="68" t="inlineStr">
        <is>
          <t>1% or watchlist</t>
        </is>
      </c>
    </row>
    <row r="18" ht="22" customHeight="1">
      <c r="A18" s="72" t="inlineStr">
        <is>
          <t>3.0 - 4.9</t>
        </is>
      </c>
      <c r="B18" s="70" t="inlineStr">
        <is>
          <t>PASS</t>
        </is>
      </c>
      <c r="C18" s="70" t="inlineStr">
        <is>
          <t>Do not initiate</t>
        </is>
      </c>
      <c r="D18" s="70" t="inlineStr">
        <is>
          <t>N/A</t>
        </is>
      </c>
    </row>
    <row r="19" ht="22" customHeight="1">
      <c r="A19" s="71" t="inlineStr">
        <is>
          <t>0 - 2.9</t>
        </is>
      </c>
      <c r="B19" s="68" t="inlineStr">
        <is>
          <t>AVOID</t>
        </is>
      </c>
      <c r="C19" s="68" t="inlineStr">
        <is>
          <t>Does not fit strategy</t>
        </is>
      </c>
      <c r="D19" s="68" t="inlineStr">
        <is>
          <t>N/A</t>
        </is>
      </c>
    </row>
    <row r="20" ht="22" customHeight="1">
      <c r="A20" s="72" t="inlineStr">
        <is>
          <t>DISQUALIFIED</t>
        </is>
      </c>
      <c r="B20" s="70" t="inlineStr">
        <is>
          <t>DISQUALIFIED</t>
        </is>
      </c>
      <c r="C20" s="70" t="inlineStr">
        <is>
          <t>Hard disqualifier triggered — do not invest</t>
        </is>
      </c>
      <c r="D20" s="70" t="inlineStr">
        <is>
          <t>N/A</t>
        </is>
      </c>
    </row>
    <row r="21"/>
    <row r="22" ht="26" customHeight="1">
      <c r="A22" s="22" t="inlineStr">
        <is>
          <t>HARD FILTERS (All Must Pass)</t>
        </is>
      </c>
    </row>
    <row r="23" ht="30" customHeight="1">
      <c r="A23" s="27" t="inlineStr">
        <is>
          <t>Filter</t>
        </is>
      </c>
      <c r="B23" s="27" t="inlineStr">
        <is>
          <t>Threshold</t>
        </is>
      </c>
      <c r="C23" s="27" t="inlineStr">
        <is>
          <t>Rationale</t>
        </is>
      </c>
      <c r="D23" s="27" t="inlineStr">
        <is>
          <t>Override Condition</t>
        </is>
      </c>
    </row>
    <row r="24" ht="22" customHeight="1">
      <c r="A24" s="67" t="inlineStr">
        <is>
          <t>ATH Selloff</t>
        </is>
      </c>
      <c r="B24" s="68" t="inlineStr">
        <is>
          <t>Must be &gt;30% below all-time high</t>
        </is>
      </c>
      <c r="C24" s="68" t="inlineStr">
        <is>
          <t>Target beaten-down stocks with asymmetric upside</t>
        </is>
      </c>
      <c r="D24" s="68" t="inlineStr">
        <is>
          <t>None — absolute requirement</t>
        </is>
      </c>
    </row>
    <row r="25" ht="22" customHeight="1">
      <c r="A25" s="69" t="inlineStr">
        <is>
          <t>Recovery Filter</t>
        </is>
      </c>
      <c r="B25" s="70" t="inlineStr">
        <is>
          <t>(price - 52w_low) / (52w_high - 52w_low) &lt; 50%</t>
        </is>
      </c>
      <c r="C25" s="70" t="inlineStr">
        <is>
          <t>Catch early-stage bottoming, not stocks that have already recovered</t>
        </is>
      </c>
      <c r="D25" s="70" t="inlineStr">
        <is>
          <t>None</t>
        </is>
      </c>
    </row>
    <row r="26" ht="22" customHeight="1">
      <c r="A26" s="67" t="inlineStr">
        <is>
          <t>Balance Sheet</t>
        </is>
      </c>
      <c r="B26" s="68" t="inlineStr">
        <is>
          <t>ND/EBITDA &lt; 3.5x AND interest coverage &gt; 3x</t>
        </is>
      </c>
      <c r="C26" s="68" t="inlineStr">
        <is>
          <t>Must survive downturn without diluting equity holders</t>
        </is>
      </c>
      <c r="D26" s="68" t="inlineStr">
        <is>
          <t>None</t>
        </is>
      </c>
    </row>
    <row r="27" ht="22" customHeight="1">
      <c r="A27" s="69" t="inlineStr">
        <is>
          <t>Criminal DOJ Investigation</t>
        </is>
      </c>
      <c r="B27" s="70" t="inlineStr">
        <is>
          <t>Active DOJ/FBI criminal investigation → DISQUALIFIED</t>
        </is>
      </c>
      <c r="C27" s="70" t="inlineStr">
        <is>
          <t>Unbounded downside risk from fines, departures, reputational damage</t>
        </is>
      </c>
      <c r="D27" s="70" t="inlineStr">
        <is>
          <t>Investigation formally closed with no charges AND stock not recovered</t>
        </is>
      </c>
    </row>
    <row r="28" ht="22" customHeight="1">
      <c r="A28" s="67" t="inlineStr">
        <is>
          <t>Chronic Underperformance</t>
        </is>
      </c>
      <c r="B28" s="68" t="inlineStr">
        <is>
          <t>3+ years underperforming peers, no confirmed inflection → DISQUALIFIED</t>
        </is>
      </c>
      <c r="C28" s="68" t="inlineStr">
        <is>
          <t>'This time is different' is almost never true without concrete evidence</t>
        </is>
      </c>
      <c r="D28" s="68" t="inlineStr">
        <is>
          <t>Confirmed inflection: mgmt action taken + quantitative improvement + external validation</t>
        </is>
      </c>
    </row>
    <row r="29"/>
    <row r="30" ht="26" customHeight="1">
      <c r="A30" s="22" t="inlineStr">
        <is>
          <t>CATALYST SPECIFICITY GATE</t>
        </is>
      </c>
    </row>
    <row r="31" ht="30" customHeight="1">
      <c r="A31" s="27" t="inlineStr">
        <is>
          <t>Requirement</t>
        </is>
      </c>
      <c r="B31" s="27" t="inlineStr">
        <is>
          <t>Description</t>
        </is>
      </c>
      <c r="C31" s="27" t="inlineStr">
        <is>
          <t>Pass Example</t>
        </is>
      </c>
      <c r="D31" s="27" t="inlineStr">
        <is>
          <t>Fail Example</t>
        </is>
      </c>
    </row>
    <row r="32" ht="22" customHeight="1">
      <c r="A32" s="67" t="inlineStr">
        <is>
          <t>Named</t>
        </is>
      </c>
      <c r="B32" s="68" t="inlineStr">
        <is>
          <t>Catalyst has a specific name, not 'things will improve'</t>
        </is>
      </c>
      <c r="C32" s="68" t="inlineStr">
        <is>
          <t>CHAMPION-AF trial; FARAPULSE PFA approval</t>
        </is>
      </c>
      <c r="D32" s="68" t="inlineStr">
        <is>
          <t>'salesforce transition'; 'management focus'</t>
        </is>
      </c>
    </row>
    <row r="33" ht="22" customHeight="1">
      <c r="A33" s="69" t="inlineStr">
        <is>
          <t>Dated</t>
        </is>
      </c>
      <c r="B33" s="70" t="inlineStr">
        <is>
          <t>Quarter/year known for the event</t>
        </is>
      </c>
      <c r="C33" s="70" t="inlineStr">
        <is>
          <t>ACC March 28, 2026; MiniMed spin end-2026</t>
        </is>
      </c>
      <c r="D33" s="70" t="inlineStr">
        <is>
          <t>'over the next 18 months'; 'eventually'</t>
        </is>
      </c>
    </row>
    <row r="34" ht="22" customHeight="1">
      <c r="A34" s="67" t="inlineStr">
        <is>
          <t>Binary/Near-Binary</t>
        </is>
      </c>
      <c r="B34" s="68" t="inlineStr">
        <is>
          <t>Clear yes/no outcome with quantifiable price impact</t>
        </is>
      </c>
      <c r="C34" s="68" t="inlineStr">
        <is>
          <t>FDA approval (approved/not); Trial readout (positive/negative)</t>
        </is>
      </c>
      <c r="D34" s="68" t="inlineStr">
        <is>
          <t>'gradual improvement'; 'long-term margin expansion'</t>
        </is>
      </c>
    </row>
    <row r="35"/>
    <row r="36" ht="26" customHeight="1">
      <c r="A36" s="73" t="inlineStr">
        <is>
          <t>POSITIVE PATTERNS (Learned from BSX, MDT Deep Dives)</t>
        </is>
      </c>
    </row>
    <row r="37" ht="30" customHeight="1">
      <c r="A37" s="27" t="inlineStr">
        <is>
          <t>Pattern</t>
        </is>
      </c>
      <c r="B37" s="27" t="inlineStr">
        <is>
          <t>Description</t>
        </is>
      </c>
      <c r="C37" s="27" t="inlineStr">
        <is>
          <t>Example</t>
        </is>
      </c>
      <c r="D37" s="27" t="inlineStr">
        <is>
          <t>Score Impact</t>
        </is>
      </c>
    </row>
    <row r="38" ht="22" customHeight="1">
      <c r="A38" s="67" t="inlineStr">
        <is>
          <t>Single-Event Overreaction</t>
        </is>
      </c>
      <c r="B38" s="68" t="inlineStr">
        <is>
          <t>Selloff caused by one discrete event; underlying business intact</t>
        </is>
      </c>
      <c r="C38" s="68" t="inlineStr">
        <is>
          <t>BSX: EP grew 35% vs ~40% expected — revenue beat, EPS beat, FCF +38%</t>
        </is>
      </c>
      <c r="D38" s="68" t="inlineStr">
        <is>
          <t>Selloff Quality: 9-10</t>
        </is>
      </c>
    </row>
    <row r="39" ht="22" customHeight="1">
      <c r="A39" s="69" t="inlineStr">
        <is>
          <t>Named/Dated/Binary Catalysts</t>
        </is>
      </c>
      <c r="B39" s="70" t="inlineStr">
        <is>
          <t>Catalysts with specific name, date, and binary outcome</t>
        </is>
      </c>
      <c r="C39" s="70" t="inlineStr">
        <is>
          <t>BSX: CHAMPION-AF at ACC March 28, 2026 — TAM 5M→20M patients</t>
        </is>
      </c>
      <c r="D39" s="70" t="inlineStr">
        <is>
          <t>Catalyst Specificity: 9-10</t>
        </is>
      </c>
    </row>
    <row r="40" ht="22" customHeight="1">
      <c r="A40" s="67" t="inlineStr">
        <is>
          <t>Analyst Support Despite Selloff</t>
        </is>
      </c>
      <c r="B40" s="68" t="inlineStr">
        <is>
          <t>Strong buy consensus maintained or upgraded during selloff</t>
        </is>
      </c>
      <c r="C40" s="68" t="inlineStr">
        <is>
          <t>BSX: 35 analysts, 0 sells, mean target +49% above current</t>
        </is>
      </c>
      <c r="D40" s="68" t="inlineStr">
        <is>
          <t>Analyst Conviction: 9-10</t>
        </is>
      </c>
    </row>
    <row r="41" ht="22" customHeight="1">
      <c r="A41" s="69" t="inlineStr">
        <is>
          <t>Intact Core Franchise</t>
        </is>
      </c>
      <c r="B41" s="70" t="inlineStr">
        <is>
          <t>Core business undamaged — selloff is about fear, not fundamentals</t>
        </is>
      </c>
      <c r="C41" s="70" t="inlineStr">
        <is>
          <t>BSX: WATCHMAN 600K+ implants, Farawave ~70% US PFA share</t>
        </is>
      </c>
      <c r="D41" s="70" t="inlineStr">
        <is>
          <t>Competitive Moat: 9-10</t>
        </is>
      </c>
    </row>
    <row r="42" ht="22" customHeight="1">
      <c r="A42" s="67" t="inlineStr">
        <is>
          <t>Management Acting (Not Talking)</t>
        </is>
      </c>
      <c r="B42" s="68" t="inlineStr">
        <is>
          <t>Concrete actions taken: acquisitions, board changes, strategic reviews</t>
        </is>
      </c>
      <c r="C42" s="68" t="inlineStr">
        <is>
          <t>MDT: Elliott added ex-Stryker CFO, MiniMed spin announced with timeline</t>
        </is>
      </c>
      <c r="D42" s="68" t="inlineStr">
        <is>
          <t>Catalyst Specificity: +1-2 pts</t>
        </is>
      </c>
    </row>
    <row r="43"/>
    <row r="44" ht="26" customHeight="1">
      <c r="A44" s="74" t="inlineStr">
        <is>
          <t>FAILURE PATTERNS (Learned from ZBH, UNH Deep Dives)</t>
        </is>
      </c>
    </row>
    <row r="45" ht="30" customHeight="1">
      <c r="A45" s="27" t="inlineStr">
        <is>
          <t>Pattern</t>
        </is>
      </c>
      <c r="B45" s="27" t="inlineStr">
        <is>
          <t>Description</t>
        </is>
      </c>
      <c r="C45" s="27" t="inlineStr">
        <is>
          <t>Example</t>
        </is>
      </c>
      <c r="D45" s="27" t="inlineStr">
        <is>
          <t>Score Impact</t>
        </is>
      </c>
    </row>
    <row r="46" ht="22" customHeight="1">
      <c r="A46" s="67" t="inlineStr">
        <is>
          <t>Criminal Investigation</t>
        </is>
      </c>
      <c r="B46" s="68" t="inlineStr">
        <is>
          <t>Active DOJ/FBI criminal probe → DISQUALIFIED. Unbounded tail risk.</t>
        </is>
      </c>
      <c r="C46" s="68" t="inlineStr">
        <is>
          <t>UNH: DOJ criminal + civil MA fraud investigation; mgmt denied then forced to acknowledge</t>
        </is>
      </c>
      <c r="D46" s="68" t="inlineStr">
        <is>
          <t>DISQUALIFIED — automatic fail</t>
        </is>
      </c>
    </row>
    <row r="47" ht="22" customHeight="1">
      <c r="A47" s="69" t="inlineStr">
        <is>
          <t>Chronic Underperformance</t>
        </is>
      </c>
      <c r="B47" s="70" t="inlineStr">
        <is>
          <t>3+ years losing share to peers without confirmed inflection</t>
        </is>
      </c>
      <c r="C47" s="70" t="inlineStr">
        <is>
          <t>ZBH: Underperformed S&amp;P 4 of 5 years; 1-3% organic growth vs industry avg</t>
        </is>
      </c>
      <c r="D47" s="70" t="inlineStr">
        <is>
          <t>DISQUALIFIED — automatic fail</t>
        </is>
      </c>
    </row>
    <row r="48" ht="22" customHeight="1">
      <c r="A48" s="67" t="inlineStr">
        <is>
          <t>Structural Competitor Share Loss</t>
        </is>
      </c>
      <c r="B48" s="68" t="inlineStr">
        <is>
          <t>Better-resourced competitor structurally taking share in core segment</t>
        </is>
      </c>
      <c r="C48" s="68" t="inlineStr">
        <is>
          <t>SYK MAKO taking robotic knee share from ZBH ROSA; LLY gaining GLP-1 share from NVO</t>
        </is>
      </c>
      <c r="D48" s="68" t="inlineStr">
        <is>
          <t>Selloff Quality: -2pts; Moat: -1.5pts</t>
        </is>
      </c>
    </row>
    <row r="49" ht="22" customHeight="1">
      <c r="A49" s="69" t="inlineStr">
        <is>
          <t>Macro Directly Hostile</t>
        </is>
      </c>
      <c r="B49" s="70" t="inlineStr">
        <is>
          <t>Bipartisan political targeting, regulatory crackdown on core business</t>
        </is>
      </c>
      <c r="C49" s="70" t="inlineStr">
        <is>
          <t>UNH: bipartisan healthcare reform pressure; CMS rate squeeze</t>
        </is>
      </c>
      <c r="D49" s="70" t="inlineStr">
        <is>
          <t>Macro Alignment: cap at 3.0</t>
        </is>
      </c>
    </row>
    <row r="50"/>
    <row r="51" ht="26" customHeight="1">
      <c r="A51" s="22" t="inlineStr">
        <is>
          <t>SECTOR BALANCE RULE</t>
        </is>
      </c>
    </row>
    <row r="52" ht="30" customHeight="1">
      <c r="A52" s="27" t="inlineStr">
        <is>
          <t>Rule</t>
        </is>
      </c>
      <c r="B52" s="27" t="inlineStr">
        <is>
          <t>Description</t>
        </is>
      </c>
      <c r="C52" s="27" t="inlineStr">
        <is>
          <t>Sectors Targeted</t>
        </is>
      </c>
      <c r="D52" s="27" t="inlineStr">
        <is>
          <t>Notes</t>
        </is>
      </c>
    </row>
    <row r="53" ht="22" customHeight="1">
      <c r="A53" s="67" t="inlineStr">
        <is>
          <t>Minimum Sectors</t>
        </is>
      </c>
      <c r="B53" s="68" t="inlineStr">
        <is>
          <t>Final output must include candidates from &gt;= 3 sectors</t>
        </is>
      </c>
      <c r="C53" s="68" t="inlineStr">
        <is>
          <t>Healthcare, Defense/Aerospace, Consumer Staples, Industrials, Utilities, International</t>
        </is>
      </c>
      <c r="D53" s="68" t="inlineStr">
        <is>
          <t>Do not force bad picks to meet targets</t>
        </is>
      </c>
    </row>
    <row r="54" ht="22" customHeight="1">
      <c r="A54" s="69" t="inlineStr">
        <is>
          <t>Healthcare Cap</t>
        </is>
      </c>
      <c r="B54" s="70" t="inlineStr">
        <is>
          <t>If &gt;4 healthcare names and &lt;2 non-healthcare, continue screening</t>
        </is>
      </c>
      <c r="C54" s="70" t="inlineStr">
        <is>
          <t>N/A</t>
        </is>
      </c>
      <c r="D54" s="70" t="inlineStr">
        <is>
          <t>Healthcare is naturally good fit but need diversification</t>
        </is>
      </c>
    </row>
    <row r="55" ht="22" customHeight="1">
      <c r="A55" s="67" t="inlineStr">
        <is>
          <t>Sector Valuation</t>
        </is>
      </c>
      <c r="B55" s="68" t="inlineStr">
        <is>
          <t>Use sector-specific P/E benchmarks, not S&amp;P average</t>
        </is>
      </c>
      <c r="C55" s="68" t="inlineStr">
        <is>
          <t>HC Devices 18-25x; Defense 18-22x; Staples 20-24x; Industrials 18-22x; Utilities 16-20x</t>
        </is>
      </c>
      <c r="D55" s="68" t="inlineStr">
        <is>
          <t>Don't penalize utility at 15x or reward defense at 20x</t>
        </is>
      </c>
    </row>
    <row r="56"/>
    <row r="57" ht="26" customHeight="1">
      <c r="A57" s="22" t="inlineStr">
        <is>
          <t>SCREENED-OUT FAILURE TYPE CATEGORIES</t>
        </is>
      </c>
    </row>
    <row r="58" ht="30" customHeight="1">
      <c r="A58" s="27" t="inlineStr">
        <is>
          <t>Category</t>
        </is>
      </c>
      <c r="B58" s="27" t="inlineStr">
        <is>
          <t>Description</t>
        </is>
      </c>
      <c r="C58" s="27" t="inlineStr">
        <is>
          <t>Action</t>
        </is>
      </c>
      <c r="D58" s="27" t="inlineStr">
        <is>
          <t>Revisit Trigger</t>
        </is>
      </c>
    </row>
    <row r="59" ht="22" customHeight="1">
      <c r="A59" s="67" t="inlineStr">
        <is>
          <t>HARD FILTER: Criminal/DOJ probe</t>
        </is>
      </c>
      <c r="B59" s="68" t="inlineStr">
        <is>
          <t>Active criminal investigation by DOJ/FBI</t>
        </is>
      </c>
      <c r="C59" s="68" t="inlineStr">
        <is>
          <t>Immediate disqualification</t>
        </is>
      </c>
      <c r="D59" s="68" t="inlineStr">
        <is>
          <t>Investigation closed with no charges</t>
        </is>
      </c>
    </row>
    <row r="60" ht="22" customHeight="1">
      <c r="A60" s="69" t="inlineStr">
        <is>
          <t>HARD FILTER: Chronic underperformer</t>
        </is>
      </c>
      <c r="B60" s="70" t="inlineStr">
        <is>
          <t>3+ years underperforming, no confirmed inflection</t>
        </is>
      </c>
      <c r="C60" s="70" t="inlineStr">
        <is>
          <t>Immediate disqualification</t>
        </is>
      </c>
      <c r="D60" s="70" t="inlineStr">
        <is>
          <t>2+ quarters of above-industry organic growth</t>
        </is>
      </c>
    </row>
    <row r="61" ht="22" customHeight="1">
      <c r="A61" s="67" t="inlineStr">
        <is>
          <t>HARD FILTER: Structural share loss</t>
        </is>
      </c>
      <c r="B61" s="68" t="inlineStr">
        <is>
          <t>Competitor structurally gaining core segment share</t>
        </is>
      </c>
      <c r="C61" s="68" t="inlineStr">
        <is>
          <t>Disqualify unless clear fix</t>
        </is>
      </c>
      <c r="D61" s="68" t="inlineStr">
        <is>
          <t>Documented share stabilization or gain</t>
        </is>
      </c>
    </row>
    <row r="62" ht="22" customHeight="1">
      <c r="A62" s="69" t="inlineStr">
        <is>
          <t>HARD FILTER: Macro hostile</t>
        </is>
      </c>
      <c r="B62" s="70" t="inlineStr">
        <is>
          <t>Regulatory/political environment actively hostile</t>
        </is>
      </c>
      <c r="C62" s="70" t="inlineStr">
        <is>
          <t>Cap macro score at 3.0</t>
        </is>
      </c>
      <c r="D62" s="70" t="inlineStr">
        <is>
          <t>Policy environment reversal</t>
        </is>
      </c>
    </row>
    <row r="63" ht="22" customHeight="1">
      <c r="A63" s="67" t="inlineStr">
        <is>
          <t>SOFT PASS: Valuation insufficient</t>
        </is>
      </c>
      <c r="B63" s="68" t="inlineStr">
        <is>
          <t>Stock doesn't meet 30% ATH selloff or recovery filter</t>
        </is>
      </c>
      <c r="C63" s="68" t="inlineStr">
        <is>
          <t>Move to screened out</t>
        </is>
      </c>
      <c r="D63" s="68" t="inlineStr">
        <is>
          <t>Further selloff creates entry</t>
        </is>
      </c>
    </row>
    <row r="64" ht="22" customHeight="1">
      <c r="A64" s="69" t="inlineStr">
        <is>
          <t>SOFT PASS: Catalyst too vague</t>
        </is>
      </c>
      <c r="B64" s="70" t="inlineStr">
        <is>
          <t>No named/dated/binary catalyst within 12-18 months</t>
        </is>
      </c>
      <c r="C64" s="70" t="inlineStr">
        <is>
          <t>Move to watchlist</t>
        </is>
      </c>
      <c r="D64" s="70" t="inlineStr">
        <is>
          <t>Specific catalyst emerges</t>
        </is>
      </c>
    </row>
  </sheetData>
  <mergeCells count="9">
    <mergeCell ref="A1:D1"/>
    <mergeCell ref="A22:D22"/>
    <mergeCell ref="A3:D3"/>
    <mergeCell ref="A30:D30"/>
    <mergeCell ref="A57:D57"/>
    <mergeCell ref="A51:D51"/>
    <mergeCell ref="A36:D36"/>
    <mergeCell ref="A13:D13"/>
    <mergeCell ref="A44:D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2026-03-18T00:05:13Z</dcterms:created>
  <dcterms:modified xsi:type="dcterms:W3CDTF">2026-03-18T00:05:13Z</dcterms:modified>
</cp:coreProperties>
</file>